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lin.sharepoint.com/sites/personal2/Shared Documents/benchmarking app/"/>
    </mc:Choice>
  </mc:AlternateContent>
  <xr:revisionPtr revIDLastSave="49" documentId="8_{EC837E55-8EFE-489E-A99D-ABF22ECC5B37}" xr6:coauthVersionLast="47" xr6:coauthVersionMax="47" xr10:uidLastSave="{186DBB70-FD68-4DE9-8996-28324F574667}"/>
  <bookViews>
    <workbookView xWindow="-110" yWindow="-110" windowWidth="19420" windowHeight="11500" activeTab="2" xr2:uid="{AFC8472C-8F0F-4695-BCCB-59CE31B72101}"/>
  </bookViews>
  <sheets>
    <sheet name="Global" sheetId="1" r:id="rId1"/>
    <sheet name="GRAPH" sheetId="7" r:id="rId2"/>
    <sheet name="AQI" sheetId="6" r:id="rId3"/>
    <sheet name="Sheet1" sheetId="4" r:id="rId4"/>
    <sheet name="Coke FY26" sheetId="5" r:id="rId5"/>
    <sheet name="Prod_BF BOF" sheetId="3" r:id="rId6"/>
    <sheet name="Prod_BF BOF R0" sheetId="9" r:id="rId7"/>
    <sheet name="TataSteel" sheetId="2" r:id="rId8"/>
    <sheet name="Indian" sheetId="8" r:id="rId9"/>
  </sheets>
  <definedNames>
    <definedName name="_xlnm._FilterDatabase" localSheetId="8" hidden="1">Indian!$B$35:$C$35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9" l="1"/>
  <c r="J4" i="9"/>
  <c r="J3" i="9"/>
  <c r="H28" i="9" s="1"/>
  <c r="J2" i="9"/>
  <c r="J1" i="9"/>
  <c r="G28" i="9" s="1"/>
  <c r="I4" i="3"/>
  <c r="I3" i="3"/>
  <c r="I2" i="3"/>
  <c r="I1" i="3"/>
  <c r="G11" i="9" l="1"/>
  <c r="G18" i="9"/>
  <c r="H19" i="9"/>
  <c r="G20" i="9"/>
  <c r="H13" i="9"/>
  <c r="G7" i="9"/>
  <c r="H27" i="9"/>
  <c r="G12" i="9"/>
  <c r="G19" i="9"/>
  <c r="H12" i="9"/>
  <c r="G6" i="9"/>
  <c r="G13" i="9"/>
  <c r="H6" i="9"/>
  <c r="H20" i="9"/>
  <c r="G14" i="9"/>
  <c r="G26" i="9"/>
  <c r="H7" i="9"/>
  <c r="H14" i="9"/>
  <c r="H26" i="9"/>
  <c r="G8" i="9"/>
  <c r="G16" i="9"/>
  <c r="G27" i="9"/>
  <c r="H8" i="9"/>
  <c r="H16" i="9"/>
  <c r="G9" i="9"/>
  <c r="G17" i="9"/>
  <c r="H18" i="9"/>
  <c r="H9" i="9"/>
  <c r="H17" i="9"/>
  <c r="F6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I76" i="1"/>
  <c r="C71" i="1"/>
  <c r="K75" i="1"/>
  <c r="J75" i="1"/>
  <c r="I75" i="1"/>
  <c r="K74" i="1"/>
  <c r="J74" i="1"/>
  <c r="I74" i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2" i="1"/>
  <c r="C73" i="1"/>
  <c r="C74" i="1"/>
  <c r="C75" i="1"/>
  <c r="C76" i="1"/>
  <c r="C77" i="1"/>
  <c r="C78" i="1"/>
  <c r="C79" i="1"/>
  <c r="C3" i="1"/>
  <c r="K79" i="1"/>
  <c r="J79" i="1"/>
  <c r="I79" i="1"/>
  <c r="K78" i="1"/>
  <c r="J78" i="1"/>
  <c r="I78" i="1"/>
  <c r="K38" i="1"/>
  <c r="J38" i="1"/>
  <c r="I38" i="1"/>
  <c r="K37" i="1"/>
  <c r="J37" i="1"/>
  <c r="I37" i="1"/>
  <c r="K36" i="1" l="1"/>
  <c r="J36" i="1"/>
  <c r="I36" i="1"/>
  <c r="K23" i="1"/>
  <c r="J23" i="1"/>
  <c r="I23" i="1"/>
  <c r="I28" i="1"/>
  <c r="J28" i="1"/>
  <c r="K28" i="1"/>
  <c r="K27" i="1"/>
  <c r="J27" i="1"/>
  <c r="I27" i="1"/>
  <c r="O19" i="6" l="1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K77" i="1" l="1"/>
  <c r="J77" i="1"/>
  <c r="I77" i="1"/>
  <c r="K51" i="1" l="1"/>
  <c r="J51" i="1"/>
  <c r="I51" i="1"/>
  <c r="I32" i="1" l="1"/>
  <c r="J32" i="1"/>
  <c r="K32" i="1"/>
  <c r="K31" i="1"/>
  <c r="J31" i="1"/>
  <c r="I31" i="1"/>
  <c r="I40" i="1"/>
  <c r="J40" i="1"/>
  <c r="K40" i="1"/>
  <c r="K39" i="1"/>
  <c r="J39" i="1"/>
  <c r="I39" i="1"/>
  <c r="K44" i="1"/>
  <c r="K45" i="1"/>
  <c r="K43" i="1"/>
  <c r="J44" i="1"/>
  <c r="J45" i="1"/>
  <c r="J43" i="1"/>
  <c r="I44" i="1"/>
  <c r="I45" i="1"/>
  <c r="I43" i="1"/>
  <c r="I30" i="1" l="1"/>
  <c r="I29" i="1"/>
</calcChain>
</file>

<file path=xl/sharedStrings.xml><?xml version="1.0" encoding="utf-8"?>
<sst xmlns="http://schemas.openxmlformats.org/spreadsheetml/2006/main" count="1047" uniqueCount="352">
  <si>
    <t>Country</t>
  </si>
  <si>
    <t>Company</t>
  </si>
  <si>
    <t>Column2</t>
  </si>
  <si>
    <t>FY/CY</t>
  </si>
  <si>
    <t>CS Production (MTPA)</t>
  </si>
  <si>
    <t>Dust load (tonnes)</t>
  </si>
  <si>
    <t>SO2 load (tonnes)</t>
  </si>
  <si>
    <t>NOx load (tonnes)</t>
  </si>
  <si>
    <t>Dust load (kg/tcs)2</t>
  </si>
  <si>
    <t>SO2 load (kg/tcs)3</t>
  </si>
  <si>
    <t>NOx load (kg/tcs)4</t>
  </si>
  <si>
    <t>Source</t>
  </si>
  <si>
    <t>Column1</t>
  </si>
  <si>
    <t>__PowerAppsId__</t>
  </si>
  <si>
    <t>India</t>
  </si>
  <si>
    <t>TSL</t>
  </si>
  <si>
    <t>FY26</t>
  </si>
  <si>
    <t>b28556ca-d1cf-4474-8928-42db05c0a36a</t>
  </si>
  <si>
    <t>FY25</t>
  </si>
  <si>
    <t>fy25-integratedreport.pdf</t>
  </si>
  <si>
    <t>d999fa16-ecaf-48ff-95cc-aa305ebfa586</t>
  </si>
  <si>
    <t>FY24</t>
  </si>
  <si>
    <t>0aeec4a7-423e-483e-92fb-9a588e818362</t>
  </si>
  <si>
    <t>FY23</t>
  </si>
  <si>
    <t>5305cf57-c9af-4eff-82f4-56c30bc3987d</t>
  </si>
  <si>
    <t>SAIL</t>
  </si>
  <si>
    <t>7a76c850-edd1-46df-ab88-8d8abf6c420a</t>
  </si>
  <si>
    <t>Sail Annual Report_2025_(25_08_2025).pdf</t>
  </si>
  <si>
    <t>37875d2b-0c67-4c94-af13-934159177e1f</t>
  </si>
  <si>
    <t>ee3a3d20-5606-46ef-8097-04f16585c1da</t>
  </si>
  <si>
    <t>fe4e1452-4351-4247-b6eb-c84d03f3a884</t>
  </si>
  <si>
    <t>JSPL</t>
  </si>
  <si>
    <t>2c72676f-e6d1-46fd-9cbf-3a8830ede266</t>
  </si>
  <si>
    <t>dca7cc39-6f11-4154-9eec-71a810cd7e1e</t>
  </si>
  <si>
    <t>83f779ab-cd4f-4910-9cb7-8af893a5e9f2</t>
  </si>
  <si>
    <t>c7fb7dc6-0a62-42b6-a3da-ed788ca699cf</t>
  </si>
  <si>
    <t>JSW</t>
  </si>
  <si>
    <t>JSWSL-Integrated-Annual-Report-FY-2025-26.pdf</t>
  </si>
  <si>
    <t>Includes Vijayanagar, Dolvi and Salem.</t>
  </si>
  <si>
    <t>29e92b6a-cbf5-4bfc-b01b-bdc0f1d4aa2b</t>
  </si>
  <si>
    <t>JSW Steel Integrated Report 2024-25</t>
  </si>
  <si>
    <t>57b087bb-b703-48a4-a129-77fa894a93c8</t>
  </si>
  <si>
    <t>848bbbdb-bee8-4511-a89e-a7b47bdce314</t>
  </si>
  <si>
    <t>c382fc7f-d927-41e1-aad6-e6b87b7cced1</t>
  </si>
  <si>
    <t>JSL</t>
  </si>
  <si>
    <t>e39ce6c9-5557-45bb-a237-7b748dc2150d</t>
  </si>
  <si>
    <t>JSL-IR-2024-25.pdf</t>
  </si>
  <si>
    <t>75a6472f-a5fb-421e-a194-fb3422336f75</t>
  </si>
  <si>
    <t>d973af08-818e-4c36-baa6-3c294cc51270</t>
  </si>
  <si>
    <t>514c25b2-78cf-4186-93e0-feef321b36f3</t>
  </si>
  <si>
    <t>South Korea</t>
  </si>
  <si>
    <t>POSCO</t>
  </si>
  <si>
    <t>CY25</t>
  </si>
  <si>
    <t>2025_POSCO_Sustainability_Report(ENG).pdf</t>
  </si>
  <si>
    <t>CY25 CS Production to be checked</t>
  </si>
  <si>
    <t>070231db-4a05-4626-af97-6e02b1d1ae54</t>
  </si>
  <si>
    <t>CY24</t>
  </si>
  <si>
    <t>POSCO_Sustainability_Report_2024_eng.pdf</t>
  </si>
  <si>
    <t>c680d282-b162-4c7a-bf96-4dafadc4f101</t>
  </si>
  <si>
    <t>CY23</t>
  </si>
  <si>
    <t>2a507a66-f281-40e6-9110-65932de33df3</t>
  </si>
  <si>
    <t>CY22</t>
  </si>
  <si>
    <t>4b2c1a12-bda3-4fb1-90b6-dbe4191a30cd</t>
  </si>
  <si>
    <t>Austria</t>
  </si>
  <si>
    <t>Voestalpine</t>
  </si>
  <si>
    <t>voestalpine_Annual_Report_2025-26</t>
  </si>
  <si>
    <t>PM10 is considered; CS prod to be checked</t>
  </si>
  <si>
    <t>7edd2fac-6316-4e13-a5e5-4d7c9db34a6c</t>
  </si>
  <si>
    <t>a6808d3e-84f9-45d2-a3dc-c09bcd940b04</t>
  </si>
  <si>
    <t>entire-va-crr24.pdf</t>
  </si>
  <si>
    <t>c323c408-91ac-49b1-9ff7-b94784287d44</t>
  </si>
  <si>
    <t>08fef853-e119-4115-835d-de77d81bbb72</t>
  </si>
  <si>
    <t>Sweden</t>
  </si>
  <si>
    <t>SSAB</t>
  </si>
  <si>
    <t>SSAB Annual report 2025 (1).pdf</t>
  </si>
  <si>
    <t>e0f64af7-4479-4293-9b48-63c903c0c844</t>
  </si>
  <si>
    <t>d90e7758-32a6-46a1-9751-7b9dfccf9782</t>
  </si>
  <si>
    <t>SSAB_Annual_report_2024.pdf</t>
  </si>
  <si>
    <t>6a864de7-9a2e-462c-b0cb-c7883bb13600</t>
  </si>
  <si>
    <t>a7dcf4e7-ad9e-4c57-8e4e-f533132a7926</t>
  </si>
  <si>
    <t>United States</t>
  </si>
  <si>
    <t>USS</t>
  </si>
  <si>
    <t>0ddafa95-8acb-48a5-9acd-bf84d9d278e1</t>
  </si>
  <si>
    <t>uss_2024-sustainability-report</t>
  </si>
  <si>
    <t>46b4e89c-73ae-411a-a5c6-9fd3391966a1</t>
  </si>
  <si>
    <t>PM10 is considered</t>
  </si>
  <si>
    <t>d96f3d86-deac-4995-8c20-63ea7211991f</t>
  </si>
  <si>
    <t>8d396b8b-b113-4b20-ba30-e3f5f83bf653</t>
  </si>
  <si>
    <t>Brazil</t>
  </si>
  <si>
    <t>Gerdau</t>
  </si>
  <si>
    <t>cf3f43a3-4931-45d0-a83b-48c64e434ca5</t>
  </si>
  <si>
    <t>2a9beac1-9162-4cdb-aa6e-c79f164b92a5</t>
  </si>
  <si>
    <t>9a131b11-de57-b47e-f708-8d708ae30688</t>
  </si>
  <si>
    <t>9a822e81-4ac3-42ec-bd90-4848ff382f1e</t>
  </si>
  <si>
    <t>f54e9ab5-ac96-4025-b648-b6cf2e759946</t>
  </si>
  <si>
    <t>Cleveland Cliff</t>
  </si>
  <si>
    <t>CLF_SustainabilityReport_2025.pdf</t>
  </si>
  <si>
    <t>71e9f5dc-0366-421c-8bee-27c285b5cb0a</t>
  </si>
  <si>
    <t>37a2bcca-e9fd-4499-973f-c53185c5b4a9</t>
  </si>
  <si>
    <t>CLF_SustainabilityReport_2024.pdf</t>
  </si>
  <si>
    <t>847ac757-4b24-489d-99c3-f6e57a012ab3</t>
  </si>
  <si>
    <t>5af786c7-a3f9-4d3d-9629-83533bc3b4c3</t>
  </si>
  <si>
    <t>China</t>
  </si>
  <si>
    <t>Baowu Steel</t>
  </si>
  <si>
    <t>67150c0d-202a-4d54-8d19-4534b02a6fd4</t>
  </si>
  <si>
    <t>e4628c35-80a6-4906-9f2a-b476465c8fba</t>
  </si>
  <si>
    <t>2025042400089.pdf</t>
  </si>
  <si>
    <t>88e987ef-fcfc-4ac5-af8a-1869af60114e</t>
  </si>
  <si>
    <t>fdd87af9-1730-4c37-bb0c-1ee843d4e6b3</t>
  </si>
  <si>
    <t>Hyundai</t>
  </si>
  <si>
    <t>2026_HyundaiSteel_SustainabilityReport_ENG.pdf</t>
  </si>
  <si>
    <t>2a1c3fbe-cadc-4002-b3c7-36cff7467bc3</t>
  </si>
  <si>
    <t>0fc1fd27-bc8f-4df9-998e-f3b738493d22</t>
  </si>
  <si>
    <t>2d4c6cca-4a06-4076-998d-caf5dbefd146</t>
  </si>
  <si>
    <t>6bc924a9-2f20-4237-a433-b9fa9defa9d8</t>
  </si>
  <si>
    <t>Luxembourg</t>
  </si>
  <si>
    <t>Arcelormittal</t>
  </si>
  <si>
    <t>572.sar.en.2025.pdf</t>
  </si>
  <si>
    <t>bf28491b-9e9f-4556-842e-6f19641cbeb7</t>
  </si>
  <si>
    <t>e4719f31-8ab8-4c9d-9b6c-1a96016d1d8d</t>
  </si>
  <si>
    <t>e757b293-b355-4f73-a331-c09aa52f3009</t>
  </si>
  <si>
    <t>9469c8d3-6340-48e4-86a0-c1cf1367d971</t>
  </si>
  <si>
    <t>China Steel</t>
  </si>
  <si>
    <t>2fd7c0ea-37cb-42eb-9659-7d6cf715b430</t>
  </si>
  <si>
    <t>hr-2024e.pdf</t>
  </si>
  <si>
    <t>19904106-c569-4b4e-a38f-dba88a923055</t>
  </si>
  <si>
    <t>c05f15b3-c559-481c-b2cc-6648c6f95b67</t>
  </si>
  <si>
    <t>6dbde560-8701-496e-8ced-b2d36b7e5d24</t>
  </si>
  <si>
    <t>AMNS</t>
  </si>
  <si>
    <t>4eb1a299-992a-4e42-95af-86789b7a47e0</t>
  </si>
  <si>
    <t>652e38a3-84e0-4377-b5a2-ae651a66c5f1</t>
  </si>
  <si>
    <t>ee425c1f-be58-4981-927e-83bcc4ca68b8</t>
  </si>
  <si>
    <t>7d78225d-cbdc-4838-8c85-7d5868737bd0</t>
  </si>
  <si>
    <t>Russia</t>
  </si>
  <si>
    <t>Severstal</t>
  </si>
  <si>
    <t>5550f416-d529-4e28-a176-589a0d1b8139</t>
  </si>
  <si>
    <t>fff8bec2-35af-4aaf-b6df-c0ddb0f16714</t>
  </si>
  <si>
    <t>dac1f5ea-74d1-4aef-9340-1b186df97f61</t>
  </si>
  <si>
    <t>b9abef60-c824-4df5-b88a-7c177ff8f980</t>
  </si>
  <si>
    <t>UK</t>
  </si>
  <si>
    <t>TSUK</t>
  </si>
  <si>
    <t>tata-steel-uk-sustainability-report-2023-2025.pdf</t>
  </si>
  <si>
    <t>bdcc302a-db46-415c-8e60-f04f58f985c0</t>
  </si>
  <si>
    <t>5701e729-539e-46d9-a6f6-d2af60c4e5bc</t>
  </si>
  <si>
    <t>14872755-56be-4a14-a1ac-fe3e681ab112</t>
  </si>
  <si>
    <t>Netherlands</t>
  </si>
  <si>
    <t>TSN</t>
  </si>
  <si>
    <t>PM10 is reported</t>
  </si>
  <si>
    <t>7c0c64f2-dfb1-4b55-9b46-b684674688ab</t>
  </si>
  <si>
    <t>Tata Steel Nederland B.V. Annual Report 2025</t>
  </si>
  <si>
    <t>77d8fc75-8cdb-44b3-bcee-f64db9143a7d</t>
  </si>
  <si>
    <t>f419e427-c3c8-4bf4-916f-1353d6f8092d</t>
  </si>
  <si>
    <t>Germany</t>
  </si>
  <si>
    <t>Thyssenkrupp</t>
  </si>
  <si>
    <t>Annual_report_2024_2025_of_thyssenkrupp_AG_WEB (4).pdf</t>
  </si>
  <si>
    <t>1895535b-15dd-4ead-9b6a-f1aa8c5665c1</t>
  </si>
  <si>
    <t>27a30bcb-7357-47e1-ae2d-23fad3ccdfe2</t>
  </si>
  <si>
    <t>f187651d-5319-4ec7-b011-ff5e30c2c72d</t>
  </si>
  <si>
    <t>Dust load (kg/tcs)</t>
  </si>
  <si>
    <t>SO2 load (kg/tcs)</t>
  </si>
  <si>
    <t>NOx load (kg/tcs)</t>
  </si>
  <si>
    <t>India-TSL</t>
  </si>
  <si>
    <t>South Korea-Hyundai</t>
  </si>
  <si>
    <t>China-Baowu Steel</t>
  </si>
  <si>
    <t>Brazil-Gerdau</t>
  </si>
  <si>
    <t>India-SAIL</t>
  </si>
  <si>
    <t>Austria-Voestalpine</t>
  </si>
  <si>
    <t>Sweden-SSAB</t>
  </si>
  <si>
    <t>India-JSPL</t>
  </si>
  <si>
    <t>South Korea-POSCO</t>
  </si>
  <si>
    <t>United States-USS</t>
  </si>
  <si>
    <t>India-JSW</t>
  </si>
  <si>
    <t>Netherlands-TSN</t>
  </si>
  <si>
    <t>China-China Steel</t>
  </si>
  <si>
    <t>India-JSL</t>
  </si>
  <si>
    <t>Luxembourg-Arcelormittal</t>
  </si>
  <si>
    <t>United States-Cleveland Cliff</t>
  </si>
  <si>
    <t>Russia-Severstal</t>
  </si>
  <si>
    <t>UK-TSUK</t>
  </si>
  <si>
    <t>Germany-Thyssenkrupp</t>
  </si>
  <si>
    <t>India-AMNS</t>
  </si>
  <si>
    <t>Hyundai Steel</t>
  </si>
  <si>
    <t>Gas based</t>
  </si>
  <si>
    <t>SITE</t>
  </si>
  <si>
    <t>PROCESS/DEPARTMENT</t>
  </si>
  <si>
    <t>TSJ</t>
  </si>
  <si>
    <t>PH #3</t>
  </si>
  <si>
    <t>PH #4</t>
  </si>
  <si>
    <t>PH #5</t>
  </si>
  <si>
    <t>TSK</t>
  </si>
  <si>
    <t>CPP</t>
  </si>
  <si>
    <t>TSM</t>
  </si>
  <si>
    <t>BFPP2_GB</t>
  </si>
  <si>
    <t>Coal Based</t>
  </si>
  <si>
    <t>BFPP1_CB</t>
  </si>
  <si>
    <t>BFPP2_CB</t>
  </si>
  <si>
    <t>TSG</t>
  </si>
  <si>
    <t>25 MW CPP</t>
  </si>
  <si>
    <t>30 MW CPP</t>
  </si>
  <si>
    <t>TSM CPP</t>
  </si>
  <si>
    <t>Boiler 1-6</t>
  </si>
  <si>
    <t>FY</t>
  </si>
  <si>
    <t>Site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</si>
  <si>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</si>
  <si>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</si>
  <si>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</si>
  <si>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</si>
  <si>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</si>
  <si>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</si>
  <si>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</si>
  <si>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</si>
  <si>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</si>
  <si>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</si>
  <si>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</si>
  <si>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</si>
  <si>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average</t>
  </si>
  <si>
    <t>Index</t>
  </si>
  <si>
    <t>Range</t>
  </si>
  <si>
    <t>Good</t>
  </si>
  <si>
    <t>0-50</t>
  </si>
  <si>
    <t>Satisfactory</t>
  </si>
  <si>
    <t>51-100</t>
  </si>
  <si>
    <t>Moderately Polluted</t>
  </si>
  <si>
    <t>101-200</t>
  </si>
  <si>
    <t>Poor</t>
  </si>
  <si>
    <t>201-300</t>
  </si>
  <si>
    <t>NINL</t>
  </si>
  <si>
    <t>Very Poor</t>
  </si>
  <si>
    <t>301-400</t>
  </si>
  <si>
    <t>Severe</t>
  </si>
  <si>
    <t>401-500</t>
  </si>
  <si>
    <t>TSIJ</t>
  </si>
  <si>
    <t>VELSEN-REYNDERSWEG</t>
  </si>
  <si>
    <t>alerts</t>
  </si>
  <si>
    <t>PLL PLD</t>
  </si>
  <si>
    <t>PLD</t>
  </si>
  <si>
    <t>CO-1 Battery-1</t>
  </si>
  <si>
    <t>CO-1 Battery-2</t>
  </si>
  <si>
    <t>CO-2 Battery</t>
  </si>
  <si>
    <t>Norms</t>
  </si>
  <si>
    <t>PLL</t>
  </si>
  <si>
    <t>PLO</t>
  </si>
  <si>
    <t>Ch. Emi</t>
  </si>
  <si>
    <t>DATE</t>
  </si>
  <si>
    <t>PLD%</t>
  </si>
  <si>
    <t>PLO%</t>
  </si>
  <si>
    <t>PLL %</t>
  </si>
  <si>
    <t>Battery 1</t>
  </si>
  <si>
    <t>Battery 2</t>
  </si>
  <si>
    <t>BATT#1</t>
  </si>
  <si>
    <t>BATT#2</t>
  </si>
  <si>
    <t>Battery 3(A&amp;B)</t>
  </si>
  <si>
    <t xml:space="preserve">DATE </t>
  </si>
  <si>
    <t>PLD % (Ram Side)</t>
  </si>
  <si>
    <t>PLD % (Coke Side)</t>
  </si>
  <si>
    <t>Avg. PLD %</t>
  </si>
  <si>
    <t>PLO %</t>
  </si>
  <si>
    <t>CHARGING EMISSION (SEC)</t>
  </si>
  <si>
    <t>Existing NORM</t>
  </si>
  <si>
    <t>Proposed NORM</t>
  </si>
  <si>
    <t>11.04.2025</t>
  </si>
  <si>
    <t>25.04.2025</t>
  </si>
  <si>
    <t>14.05.2025</t>
  </si>
  <si>
    <t>27.05.2025</t>
  </si>
  <si>
    <t>12.06.2025</t>
  </si>
  <si>
    <t>26.06.2025</t>
  </si>
  <si>
    <t>15.07.2025</t>
  </si>
  <si>
    <t>30.07.2025</t>
  </si>
  <si>
    <t>14.08.2025</t>
  </si>
  <si>
    <t>28.08.2025</t>
  </si>
  <si>
    <t>11.09.2025</t>
  </si>
  <si>
    <t>26.09.2025</t>
  </si>
  <si>
    <t>14.10.2025</t>
  </si>
  <si>
    <t>29.10.2025</t>
  </si>
  <si>
    <t>11.11.2025</t>
  </si>
  <si>
    <t>27.11.2025</t>
  </si>
  <si>
    <t>09.12.2025</t>
  </si>
  <si>
    <t>23.12.2025</t>
  </si>
  <si>
    <t>15.01.2026</t>
  </si>
  <si>
    <t>27.01.2026</t>
  </si>
  <si>
    <t>10.02.2026</t>
  </si>
  <si>
    <t>24.02.2026</t>
  </si>
  <si>
    <t>12.03.2026</t>
  </si>
  <si>
    <t>24.03.2026</t>
  </si>
  <si>
    <t>LB_BF-BOF</t>
  </si>
  <si>
    <t>UB_BF-BOF</t>
  </si>
  <si>
    <t>CDP</t>
  </si>
  <si>
    <t>LB_CSP</t>
  </si>
  <si>
    <t>UB_CSP</t>
  </si>
  <si>
    <t>CS production</t>
  </si>
  <si>
    <t>BF-BOF Share</t>
  </si>
  <si>
    <t>comment</t>
  </si>
  <si>
    <t>BF-BOF+/-25%</t>
  </si>
  <si>
    <t>CSP +/-50%</t>
  </si>
  <si>
    <t>ArcelorMittal</t>
  </si>
  <si>
    <t>FY24/CY23</t>
  </si>
  <si>
    <t>Baoshan I&amp;S</t>
  </si>
  <si>
    <t>Tata Steel</t>
  </si>
  <si>
    <t>JSW Steel</t>
  </si>
  <si>
    <t xml:space="preserve">Gerdau </t>
  </si>
  <si>
    <t>last year</t>
  </si>
  <si>
    <t>voestalpine AG</t>
  </si>
  <si>
    <t>FY25/CY24</t>
  </si>
  <si>
    <t>Total CS production_FY24/CY23</t>
  </si>
  <si>
    <t>BF-BOF Share_FY24/CY23</t>
  </si>
  <si>
    <t>Total CS production_FY25/CY24</t>
  </si>
  <si>
    <t>BF-BOF Share_FY25/CY24</t>
  </si>
  <si>
    <t>JFE Holding</t>
  </si>
  <si>
    <t>95491aa0-2a22-4a99-91de-f6762c98ad85</t>
  </si>
  <si>
    <t>NLMK</t>
  </si>
  <si>
    <t>48b4e254-2be7-4334-84ec-b65dea4e077f</t>
  </si>
  <si>
    <t>BlueScope</t>
  </si>
  <si>
    <t>16c2e3d1-693c-4217-82aa-dfca1c2ee285</t>
  </si>
  <si>
    <t>Kobe Steel</t>
  </si>
  <si>
    <t>716d96d4-4253-4a57-8c69-508d60cedb6b</t>
  </si>
  <si>
    <t>Salzgitter</t>
  </si>
  <si>
    <t>3e1c3f2c-d35e-4b4a-819d-4b7a513bf666</t>
  </si>
  <si>
    <t>SHS - Stahl</t>
  </si>
  <si>
    <t>0d9debf0-ae0d-4a39-92f8-6c0f0a8f4e55</t>
  </si>
  <si>
    <t>CSN</t>
  </si>
  <si>
    <t>c9df3b51-2d6e-4f8d-b174-84ca76906f13</t>
  </si>
  <si>
    <t>a1e46da4-e8ab-4959-8cf0-abe7b413cf37</t>
  </si>
  <si>
    <t>64ece497-bcdf-4c1e-85ba-106df8c877a0</t>
  </si>
  <si>
    <t>0b670867-563f-467d-8452-8a04c4a9f0f2</t>
  </si>
  <si>
    <t>12476d7c-6bba-455b-931a-9c3b098038e1</t>
  </si>
  <si>
    <t>0f2c05bc-e56a-4488-9fd2-edac4a67a5ed</t>
  </si>
  <si>
    <t>0b1883a4-17cf-458f-b862-4d0b1f599498</t>
  </si>
  <si>
    <t>de7ae74a-ecb4-4428-8636-b926bbdcd480</t>
  </si>
  <si>
    <t>20016e72-6380-42ae-b4ca-fcb0124c5048</t>
  </si>
  <si>
    <t>6ac4f297-1d88-475c-a11b-61baa110e248</t>
  </si>
  <si>
    <t>fc57ffc3-fcb1-4223-9e78-6ed59466728d</t>
  </si>
  <si>
    <t>be3c0e89-1b39-49a4-80ac-fec065371b2f</t>
  </si>
  <si>
    <t>e9e2192a-e574-47aa-a0de-f502d54c5c3d</t>
  </si>
  <si>
    <t>c5ec365c-e018-4716-8fa0-e401948a61f5</t>
  </si>
  <si>
    <t>b6dab147-1915-45a1-b7b6-f09f6274ba0a</t>
  </si>
  <si>
    <t>af05cf8c-2021-4b62-ade5-5d0e9ef8c165</t>
  </si>
  <si>
    <t>e95ce10d-a17d-47d5-ab13-504fc29e9651</t>
  </si>
  <si>
    <t>8bb359fb-3028-40c5-86a9-275ba7b36ea1</t>
  </si>
  <si>
    <t>649109e7-c79e-4826-83fa-5af1545e8a72</t>
  </si>
  <si>
    <t>44b71514-94c9-4b8c-b52b-6faaa8d0337c</t>
  </si>
  <si>
    <t>864b8368-0fe7-48c8-8b03-3454860e6fdb</t>
  </si>
  <si>
    <t>4ddc7a04-0453-4b9c-9f3a-bf4efb1402c2</t>
  </si>
  <si>
    <t>14b45d97-7a20-4eb1-952b-266eb28e4398</t>
  </si>
  <si>
    <t>da7b0d33-5abc-4b8f-afb7-edbb9185ea21</t>
  </si>
  <si>
    <t>2a7f9422-8e57-4a8a-88e5-eb142ec4d5ae</t>
  </si>
  <si>
    <t>82d6dd34-fe66-4ff4-8fe4-f20151fbf6de</t>
  </si>
  <si>
    <t>ian</t>
  </si>
  <si>
    <t>Emission</t>
  </si>
  <si>
    <t>dust</t>
  </si>
  <si>
    <t>so2</t>
  </si>
  <si>
    <t>nox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</si>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</sst>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424242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2" fontId="0" fillId="0" borderId="0" xfId="0" applyNumberFormat="1"/>
    <xf numFmtId="0" fontId="1" fillId="0" borderId="0" xfId="1"/>
    <xf numFmtId="0" fontId="1" fillId="0" borderId="0" xfId="1" applyAlignment="1"/>
    <xf numFmtId="0" fontId="1" fillId="0" borderId="1" xfId="1" applyBorder="1" applyAlignment="1"/>
    <xf numFmtId="2" fontId="3" fillId="3" borderId="0" xfId="0" applyNumberFormat="1" applyFont="1" applyFill="1" applyAlignment="1">
      <alignment vertical="center" wrapText="1"/>
    </xf>
    <xf numFmtId="2" fontId="4" fillId="0" borderId="0" xfId="0" applyNumberFormat="1" applyFont="1"/>
    <xf numFmtId="2" fontId="2" fillId="0" borderId="0" xfId="0" applyNumberFormat="1" applyFont="1"/>
    <xf numFmtId="3" fontId="0" fillId="0" borderId="0" xfId="0" applyNumberFormat="1"/>
    <xf numFmtId="0" fontId="8" fillId="0" borderId="2" xfId="0" applyFont="1" applyBorder="1" applyAlignment="1">
      <alignment vertical="center" wrapText="1"/>
    </xf>
    <xf numFmtId="0" fontId="0" fillId="0" borderId="3" xfId="0" applyBorder="1"/>
    <xf numFmtId="9" fontId="0" fillId="0" borderId="1" xfId="2" applyFont="1" applyBorder="1"/>
    <xf numFmtId="9" fontId="0" fillId="0" borderId="4" xfId="2" applyFont="1" applyBorder="1"/>
    <xf numFmtId="164" fontId="0" fillId="0" borderId="4" xfId="2" applyNumberFormat="1" applyFont="1" applyBorder="1"/>
    <xf numFmtId="0" fontId="0" fillId="0" borderId="5" xfId="0" applyBorder="1"/>
    <xf numFmtId="0" fontId="0" fillId="0" borderId="6" xfId="0" applyBorder="1"/>
    <xf numFmtId="9" fontId="0" fillId="0" borderId="7" xfId="2" applyFont="1" applyBorder="1"/>
    <xf numFmtId="9" fontId="0" fillId="0" borderId="8" xfId="2" applyFont="1" applyBorder="1"/>
    <xf numFmtId="0" fontId="0" fillId="0" borderId="9" xfId="0" applyBorder="1"/>
    <xf numFmtId="9" fontId="0" fillId="0" borderId="10" xfId="2" applyFont="1" applyBorder="1"/>
    <xf numFmtId="4" fontId="0" fillId="0" borderId="0" xfId="0" applyNumberFormat="1"/>
    <xf numFmtId="17" fontId="0" fillId="0" borderId="0" xfId="0" applyNumberForma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0" fillId="0" borderId="0" xfId="0" applyNumberFormat="1"/>
    <xf numFmtId="1" fontId="12" fillId="5" borderId="11" xfId="0" applyNumberFormat="1" applyFont="1" applyFill="1" applyBorder="1" applyAlignment="1">
      <alignment horizontal="center" vertical="center"/>
    </xf>
    <xf numFmtId="0" fontId="0" fillId="5" borderId="0" xfId="0" applyFill="1"/>
    <xf numFmtId="0" fontId="1" fillId="0" borderId="0" xfId="1" applyBorder="1" applyAlignment="1"/>
    <xf numFmtId="0" fontId="0" fillId="0" borderId="13" xfId="0" applyBorder="1"/>
    <xf numFmtId="2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0" fontId="1" fillId="0" borderId="0" xfId="1" applyBorder="1"/>
    <xf numFmtId="0" fontId="6" fillId="0" borderId="0" xfId="1" applyFont="1" applyBorder="1"/>
    <xf numFmtId="9" fontId="0" fillId="0" borderId="13" xfId="2" applyFont="1" applyBorder="1"/>
    <xf numFmtId="0" fontId="0" fillId="0" borderId="0" xfId="0" applyAlignment="1">
      <alignment vertical="center"/>
    </xf>
    <xf numFmtId="10" fontId="0" fillId="0" borderId="0" xfId="0" applyNumberFormat="1"/>
    <xf numFmtId="9" fontId="0" fillId="0" borderId="0" xfId="0" applyNumberFormat="1"/>
    <xf numFmtId="10" fontId="0" fillId="0" borderId="3" xfId="0" applyNumberFormat="1" applyBorder="1"/>
    <xf numFmtId="0" fontId="0" fillId="0" borderId="15" xfId="0" applyBorder="1"/>
    <xf numFmtId="0" fontId="0" fillId="0" borderId="1" xfId="0" applyBorder="1"/>
    <xf numFmtId="165" fontId="0" fillId="0" borderId="0" xfId="0" applyNumberFormat="1"/>
    <xf numFmtId="0" fontId="14" fillId="6" borderId="0" xfId="0" applyFont="1" applyFill="1"/>
    <xf numFmtId="2" fontId="0" fillId="0" borderId="9" xfId="0" applyNumberForma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3" fillId="0" borderId="3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38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Dust</a:t>
            </a:r>
            <a:r>
              <a:rPr lang="en-IN" baseline="0"/>
              <a:t> Intensity (kg/tcs)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00167590158179E-2"/>
          <c:y val="1.4828144882792604E-2"/>
          <c:w val="0.92111348517944291"/>
          <c:h val="0.708982421136234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46-4542-A16C-3A0DF34407E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D46-4542-A16C-3A0DF34407E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3D46-4542-A16C-3A0DF34407E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46-4542-A16C-3A0DF34407E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46-4542-A16C-3A0DF34407E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46-4542-A16C-3A0DF34407E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D46-4542-A16C-3A0DF34407E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46-4542-A16C-3A0DF34407E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D46-4542-A16C-3A0DF34407E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D46-4542-A16C-3A0DF34407EF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D46-4542-A16C-3A0DF34407E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ED9-491D-9440-433DEE978197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D46-4542-A16C-3A0DF34407EF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46-4542-A16C-3A0DF34407EF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D46-4542-A16C-3A0DF34407EF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D46-4542-A16C-3A0DF34407EF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D46-4542-A16C-3A0DF34407EF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D46-4542-A16C-3A0DF34407EF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D46-4542-A16C-3A0DF34407EF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D46-4542-A16C-3A0DF34407EF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D46-4542-A16C-3A0DF34407EF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D46-4542-A16C-3A0DF34407EF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D46-4542-A16C-3A0DF34407EF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3D46-4542-A16C-3A0DF34407EF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D46-4542-A16C-3A0DF34407EF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3D46-4542-A16C-3A0DF34407EF}"/>
              </c:ext>
            </c:extLst>
          </c:dPt>
          <c:dPt>
            <c:idx val="69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D46-4542-A16C-3A0DF34407EF}"/>
              </c:ext>
            </c:extLst>
          </c:dPt>
          <c:dPt>
            <c:idx val="7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3D46-4542-A16C-3A0DF34407EF}"/>
              </c:ext>
            </c:extLst>
          </c:dPt>
          <c:dPt>
            <c:idx val="7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D46-4542-A16C-3A0DF34407EF}"/>
              </c:ext>
            </c:extLst>
          </c:dPt>
          <c:dPt>
            <c:idx val="7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D46-4542-A16C-3A0DF34407EF}"/>
              </c:ext>
            </c:extLst>
          </c:dPt>
          <c:dPt>
            <c:idx val="7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D46-4542-A16C-3A0DF34407EF}"/>
              </c:ext>
            </c:extLst>
          </c:dPt>
          <c:dLbls>
            <c:delete val="1"/>
          </c:dLbls>
          <c:cat>
            <c:strRef>
              <c:f>GRAPH!$I$3:$I$80</c:f>
              <c:strCache>
                <c:ptCount val="76"/>
                <c:pt idx="0">
                  <c:v>South Korea-Hyundai</c:v>
                </c:pt>
                <c:pt idx="4">
                  <c:v>Austria-Voestalpine</c:v>
                </c:pt>
                <c:pt idx="8">
                  <c:v>Sweden-SSAB</c:v>
                </c:pt>
                <c:pt idx="12">
                  <c:v>South Korea-POSCO</c:v>
                </c:pt>
                <c:pt idx="16">
                  <c:v>Brazil-Gerdau</c:v>
                </c:pt>
                <c:pt idx="20">
                  <c:v>China-China Steel</c:v>
                </c:pt>
                <c:pt idx="24">
                  <c:v>Netherlands-TSN</c:v>
                </c:pt>
                <c:pt idx="28">
                  <c:v>Luxembourg-Arcelormittal</c:v>
                </c:pt>
                <c:pt idx="32">
                  <c:v>India-TSL</c:v>
                </c:pt>
                <c:pt idx="36">
                  <c:v>United States-USS</c:v>
                </c:pt>
                <c:pt idx="40">
                  <c:v>India-JSW</c:v>
                </c:pt>
                <c:pt idx="44">
                  <c:v>UK-TSUK</c:v>
                </c:pt>
                <c:pt idx="48">
                  <c:v>China-Baowu Steel</c:v>
                </c:pt>
                <c:pt idx="52">
                  <c:v>India-SAIL</c:v>
                </c:pt>
                <c:pt idx="56">
                  <c:v>India-AMNS</c:v>
                </c:pt>
                <c:pt idx="60">
                  <c:v>India-JSPL</c:v>
                </c:pt>
                <c:pt idx="64">
                  <c:v>India-JSL</c:v>
                </c:pt>
                <c:pt idx="68">
                  <c:v>Germany-Thyssenkrupp</c:v>
                </c:pt>
                <c:pt idx="71">
                  <c:v>United States-Cleveland Cliff</c:v>
                </c:pt>
                <c:pt idx="75">
                  <c:v>Russia-Severstal</c:v>
                </c:pt>
              </c:strCache>
            </c:strRef>
          </c:cat>
          <c:val>
            <c:numRef>
              <c:f>GRAPH!$K$3:$K$80</c:f>
              <c:numCache>
                <c:formatCode>0.00</c:formatCode>
                <c:ptCount val="78"/>
                <c:pt idx="0">
                  <c:v>1.6513969008030767E-2</c:v>
                </c:pt>
                <c:pt idx="1">
                  <c:v>1.4E-2</c:v>
                </c:pt>
                <c:pt idx="2">
                  <c:v>1.6E-2</c:v>
                </c:pt>
                <c:pt idx="4">
                  <c:v>0.04</c:v>
                </c:pt>
                <c:pt idx="5">
                  <c:v>4.7500000000000001E-2</c:v>
                </c:pt>
                <c:pt idx="6">
                  <c:v>0.05</c:v>
                </c:pt>
                <c:pt idx="8">
                  <c:v>0.09</c:v>
                </c:pt>
                <c:pt idx="9">
                  <c:v>8.5453803238535853E-2</c:v>
                </c:pt>
                <c:pt idx="10">
                  <c:v>0.08</c:v>
                </c:pt>
                <c:pt idx="12">
                  <c:v>0.1</c:v>
                </c:pt>
                <c:pt idx="13">
                  <c:v>8.7451495092444653E-2</c:v>
                </c:pt>
                <c:pt idx="14">
                  <c:v>0.08</c:v>
                </c:pt>
                <c:pt idx="16">
                  <c:v>0.24</c:v>
                </c:pt>
                <c:pt idx="17">
                  <c:v>0.23992292769931833</c:v>
                </c:pt>
                <c:pt idx="18">
                  <c:v>0.2</c:v>
                </c:pt>
                <c:pt idx="20">
                  <c:v>0.22900000000000001</c:v>
                </c:pt>
                <c:pt idx="21">
                  <c:v>0.23100000000000001</c:v>
                </c:pt>
                <c:pt idx="24">
                  <c:v>0.31</c:v>
                </c:pt>
                <c:pt idx="25">
                  <c:v>0.23</c:v>
                </c:pt>
                <c:pt idx="26">
                  <c:v>0.21</c:v>
                </c:pt>
                <c:pt idx="28">
                  <c:v>0.48</c:v>
                </c:pt>
                <c:pt idx="29">
                  <c:v>0.22</c:v>
                </c:pt>
                <c:pt idx="30">
                  <c:v>0.24</c:v>
                </c:pt>
                <c:pt idx="32">
                  <c:v>0.35</c:v>
                </c:pt>
                <c:pt idx="33">
                  <c:v>0.31</c:v>
                </c:pt>
                <c:pt idx="34">
                  <c:v>0.33</c:v>
                </c:pt>
                <c:pt idx="36">
                  <c:v>0.54400564174894217</c:v>
                </c:pt>
                <c:pt idx="37">
                  <c:v>0.47161043921069384</c:v>
                </c:pt>
                <c:pt idx="40">
                  <c:v>0.38</c:v>
                </c:pt>
                <c:pt idx="41">
                  <c:v>0.36</c:v>
                </c:pt>
                <c:pt idx="42">
                  <c:v>0.33</c:v>
                </c:pt>
                <c:pt idx="44">
                  <c:v>0.28999999999999998</c:v>
                </c:pt>
                <c:pt idx="45">
                  <c:v>0.45</c:v>
                </c:pt>
                <c:pt idx="46">
                  <c:v>0.38</c:v>
                </c:pt>
                <c:pt idx="48">
                  <c:v>0.53</c:v>
                </c:pt>
                <c:pt idx="49">
                  <c:v>0.56999999999999995</c:v>
                </c:pt>
                <c:pt idx="52">
                  <c:v>0.57999999999999996</c:v>
                </c:pt>
                <c:pt idx="53">
                  <c:v>0.56000000000000005</c:v>
                </c:pt>
                <c:pt idx="56">
                  <c:v>0.51236979166666674</c:v>
                </c:pt>
                <c:pt idx="57">
                  <c:v>0.66118784530386732</c:v>
                </c:pt>
                <c:pt idx="60">
                  <c:v>0.6</c:v>
                </c:pt>
                <c:pt idx="61">
                  <c:v>0.59</c:v>
                </c:pt>
                <c:pt idx="64">
                  <c:v>0.60380275862068966</c:v>
                </c:pt>
                <c:pt idx="65">
                  <c:v>0.67487147071217868</c:v>
                </c:pt>
                <c:pt idx="68">
                  <c:v>0.31</c:v>
                </c:pt>
                <c:pt idx="69">
                  <c:v>0.84</c:v>
                </c:pt>
                <c:pt idx="71">
                  <c:v>0.96</c:v>
                </c:pt>
                <c:pt idx="72">
                  <c:v>0.99352564102564123</c:v>
                </c:pt>
                <c:pt idx="73">
                  <c:v>1.1499999999999999</c:v>
                </c:pt>
                <c:pt idx="75">
                  <c:v>1.24</c:v>
                </c:pt>
                <c:pt idx="76">
                  <c:v>1.1499999999999999</c:v>
                </c:pt>
                <c:pt idx="77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6-4542-A16C-3A0DF3440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182170751"/>
        <c:axId val="2116160127"/>
      </c:barChart>
      <c:catAx>
        <c:axId val="118217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60127"/>
        <c:crosses val="autoZero"/>
        <c:auto val="1"/>
        <c:lblAlgn val="ctr"/>
        <c:lblOffset val="100"/>
        <c:noMultiLvlLbl val="0"/>
      </c:catAx>
      <c:valAx>
        <c:axId val="211616012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18217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SO2</a:t>
            </a:r>
            <a:r>
              <a:rPr lang="en-IN" baseline="0"/>
              <a:t> Intensity (kg/tcs)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04870337527968E-2"/>
          <c:y val="2.862931642001409E-3"/>
          <c:w val="0.92111348517944291"/>
          <c:h val="0.708982421136234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BF-4829-A819-B61B67CB6E0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BF-4829-A819-B61B67CB6E0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BF-4829-A819-B61B67CB6E0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BF-4829-A819-B61B67CB6E0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8BF-4829-A819-B61B67CB6E0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8BF-4829-A819-B61B67CB6E0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8BF-4829-A819-B61B67CB6E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8BF-4829-A819-B61B67CB6E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8BF-4829-A819-B61B67CB6E0B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8BF-4829-A819-B61B67CB6E0B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18BF-4829-A819-B61B67CB6E0B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8BF-4829-A819-B61B67CB6E0B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8BF-4829-A819-B61B67CB6E0B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8BF-4829-A819-B61B67CB6E0B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8BF-4829-A819-B61B67CB6E0B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8BF-4829-A819-B61B67CB6E0B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8BF-4829-A819-B61B67CB6E0B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8BF-4829-A819-B61B67CB6E0B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8BF-4829-A819-B61B67CB6E0B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18BF-4829-A819-B61B67CB6E0B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8BF-4829-A819-B61B67CB6E0B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8BF-4829-A819-B61B67CB6E0B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18BF-4829-A819-B61B67CB6E0B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18BF-4829-A819-B61B67CB6E0B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18BF-4829-A819-B61B67CB6E0B}"/>
              </c:ext>
            </c:extLst>
          </c:dPt>
          <c:dPt>
            <c:idx val="6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18BF-4829-A819-B61B67CB6E0B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18BF-4829-A819-B61B67CB6E0B}"/>
              </c:ext>
            </c:extLst>
          </c:dPt>
          <c:dPt>
            <c:idx val="6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18BF-4829-A819-B61B67CB6E0B}"/>
              </c:ext>
            </c:extLst>
          </c:dPt>
          <c:dPt>
            <c:idx val="7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18BF-4829-A819-B61B67CB6E0B}"/>
              </c:ext>
            </c:extLst>
          </c:dPt>
          <c:dLbls>
            <c:delete val="1"/>
          </c:dLbls>
          <c:cat>
            <c:strRef>
              <c:f>GRAPH!$M$3:$M$81</c:f>
              <c:strCache>
                <c:ptCount val="77"/>
                <c:pt idx="0">
                  <c:v>China-Baowu Steel</c:v>
                </c:pt>
                <c:pt idx="4">
                  <c:v>South Korea-Hyundai</c:v>
                </c:pt>
                <c:pt idx="8">
                  <c:v>Sweden-SSAB</c:v>
                </c:pt>
                <c:pt idx="12">
                  <c:v>United States-USS</c:v>
                </c:pt>
                <c:pt idx="16">
                  <c:v>Netherlands-TSN</c:v>
                </c:pt>
                <c:pt idx="20">
                  <c:v>China-China Steel</c:v>
                </c:pt>
                <c:pt idx="24">
                  <c:v>South Korea-POSCO</c:v>
                </c:pt>
                <c:pt idx="28">
                  <c:v>Austria-Voestalpine</c:v>
                </c:pt>
                <c:pt idx="32">
                  <c:v>Brazil-Gerdau</c:v>
                </c:pt>
                <c:pt idx="36">
                  <c:v>India-SAIL</c:v>
                </c:pt>
                <c:pt idx="40">
                  <c:v>United States-Cleveland Cliff</c:v>
                </c:pt>
                <c:pt idx="44">
                  <c:v>UK-TSUK</c:v>
                </c:pt>
                <c:pt idx="48">
                  <c:v>Germany-Thyssenkrupp</c:v>
                </c:pt>
                <c:pt idx="52">
                  <c:v>Luxembourg-Arcelormittal</c:v>
                </c:pt>
                <c:pt idx="56">
                  <c:v>India-AMNS</c:v>
                </c:pt>
                <c:pt idx="60">
                  <c:v>India-JSW</c:v>
                </c:pt>
                <c:pt idx="64">
                  <c:v>India-JSL</c:v>
                </c:pt>
                <c:pt idx="68">
                  <c:v>India-TSL</c:v>
                </c:pt>
                <c:pt idx="72">
                  <c:v>Russia-Severstal</c:v>
                </c:pt>
                <c:pt idx="76">
                  <c:v>India-JSPL</c:v>
                </c:pt>
              </c:strCache>
            </c:strRef>
          </c:cat>
          <c:val>
            <c:numRef>
              <c:f>GRAPH!$N$3:$N$81</c:f>
              <c:numCache>
                <c:formatCode>0.00</c:formatCode>
                <c:ptCount val="79"/>
                <c:pt idx="0">
                  <c:v>0.27</c:v>
                </c:pt>
                <c:pt idx="1">
                  <c:v>0.28000000000000003</c:v>
                </c:pt>
                <c:pt idx="4">
                  <c:v>0.28999999999999998</c:v>
                </c:pt>
                <c:pt idx="5">
                  <c:v>0.27600000000000002</c:v>
                </c:pt>
                <c:pt idx="6">
                  <c:v>0.33</c:v>
                </c:pt>
                <c:pt idx="8">
                  <c:v>0.36671656007620085</c:v>
                </c:pt>
                <c:pt idx="9">
                  <c:v>0.36671656007620085</c:v>
                </c:pt>
                <c:pt idx="10">
                  <c:v>0.44608233731739705</c:v>
                </c:pt>
                <c:pt idx="12">
                  <c:v>0.54400564174894217</c:v>
                </c:pt>
                <c:pt idx="13">
                  <c:v>0.47161043921069384</c:v>
                </c:pt>
                <c:pt idx="16">
                  <c:v>0.6</c:v>
                </c:pt>
                <c:pt idx="17">
                  <c:v>0.43922074074074074</c:v>
                </c:pt>
                <c:pt idx="18">
                  <c:v>0.46</c:v>
                </c:pt>
                <c:pt idx="20">
                  <c:v>0.53600000000000003</c:v>
                </c:pt>
                <c:pt idx="21">
                  <c:v>0.51600000000000001</c:v>
                </c:pt>
                <c:pt idx="24">
                  <c:v>0.67157387580299788</c:v>
                </c:pt>
                <c:pt idx="25">
                  <c:v>0.63815338963706913</c:v>
                </c:pt>
                <c:pt idx="26">
                  <c:v>0.67106664424639872</c:v>
                </c:pt>
                <c:pt idx="28">
                  <c:v>0.62</c:v>
                </c:pt>
                <c:pt idx="29">
                  <c:v>0.69597222222222221</c:v>
                </c:pt>
                <c:pt idx="30">
                  <c:v>0.69597222222222221</c:v>
                </c:pt>
                <c:pt idx="32">
                  <c:v>0.82688865439907699</c:v>
                </c:pt>
                <c:pt idx="33">
                  <c:v>0.82688865439907699</c:v>
                </c:pt>
                <c:pt idx="34">
                  <c:v>0.90161210521975754</c:v>
                </c:pt>
                <c:pt idx="36">
                  <c:v>1.1000000000000001</c:v>
                </c:pt>
                <c:pt idx="37">
                  <c:v>0.95</c:v>
                </c:pt>
                <c:pt idx="40">
                  <c:v>1.0821951219512198</c:v>
                </c:pt>
                <c:pt idx="41">
                  <c:v>1.1799358974358976</c:v>
                </c:pt>
                <c:pt idx="42">
                  <c:v>1.1100000000000001</c:v>
                </c:pt>
                <c:pt idx="44">
                  <c:v>1.38</c:v>
                </c:pt>
                <c:pt idx="45">
                  <c:v>1.01</c:v>
                </c:pt>
                <c:pt idx="46">
                  <c:v>0.79</c:v>
                </c:pt>
                <c:pt idx="48">
                  <c:v>1.3300970873786406</c:v>
                </c:pt>
                <c:pt idx="49">
                  <c:v>1.2452688172043012</c:v>
                </c:pt>
                <c:pt idx="52">
                  <c:v>0.53541666666666676</c:v>
                </c:pt>
                <c:pt idx="53">
                  <c:v>2.2472375690607733</c:v>
                </c:pt>
                <c:pt idx="54">
                  <c:v>1.2</c:v>
                </c:pt>
                <c:pt idx="56">
                  <c:v>0.53541666666666676</c:v>
                </c:pt>
                <c:pt idx="57">
                  <c:v>2.2472375690607733</c:v>
                </c:pt>
                <c:pt idx="60">
                  <c:v>1.66</c:v>
                </c:pt>
                <c:pt idx="61">
                  <c:v>1.51</c:v>
                </c:pt>
                <c:pt idx="62">
                  <c:v>1.34</c:v>
                </c:pt>
                <c:pt idx="64">
                  <c:v>1.4124432183908047</c:v>
                </c:pt>
                <c:pt idx="65">
                  <c:v>1.9303371260008426</c:v>
                </c:pt>
                <c:pt idx="68">
                  <c:v>1.63</c:v>
                </c:pt>
                <c:pt idx="69">
                  <c:v>1.62</c:v>
                </c:pt>
                <c:pt idx="70">
                  <c:v>2.2999999999999998</c:v>
                </c:pt>
                <c:pt idx="72">
                  <c:v>2.08</c:v>
                </c:pt>
                <c:pt idx="73">
                  <c:v>1.97</c:v>
                </c:pt>
                <c:pt idx="74">
                  <c:v>1.89</c:v>
                </c:pt>
                <c:pt idx="76">
                  <c:v>3.7</c:v>
                </c:pt>
                <c:pt idx="77">
                  <c:v>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8BF-4829-A819-B61B67CB6E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182170751"/>
        <c:axId val="2116160127"/>
      </c:barChart>
      <c:catAx>
        <c:axId val="118217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60127"/>
        <c:crosses val="autoZero"/>
        <c:auto val="1"/>
        <c:lblAlgn val="ctr"/>
        <c:lblOffset val="100"/>
        <c:noMultiLvlLbl val="0"/>
      </c:catAx>
      <c:valAx>
        <c:axId val="211616012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18217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NOx Intensity (kg/tcs)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04870337527968E-2"/>
          <c:y val="2.862931642001409E-3"/>
          <c:w val="0.92111348517944291"/>
          <c:h val="0.708982421136234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C2-49C4-9E2F-D656FC6F62A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45C2-49C4-9E2F-D656FC6F62A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C2-49C4-9E2F-D656FC6F62A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C2-49C4-9E2F-D656FC6F62A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C2-49C4-9E2F-D656FC6F62A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C2-49C4-9E2F-D656FC6F62A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C2-49C4-9E2F-D656FC6F62A7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45C2-49C4-9E2F-D656FC6F62A7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5C2-49C4-9E2F-D656FC6F62A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5C2-49C4-9E2F-D656FC6F62A7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5C2-49C4-9E2F-D656FC6F62A7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5C2-49C4-9E2F-D656FC6F62A7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5C2-49C4-9E2F-D656FC6F62A7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5C2-49C4-9E2F-D656FC6F62A7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5C2-49C4-9E2F-D656FC6F62A7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5C2-49C4-9E2F-D656FC6F62A7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45C2-49C4-9E2F-D656FC6F62A7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5C2-49C4-9E2F-D656FC6F62A7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5C2-49C4-9E2F-D656FC6F62A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5C2-49C4-9E2F-D656FC6F62A7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5C2-49C4-9E2F-D656FC6F62A7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45C2-49C4-9E2F-D656FC6F62A7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5C2-49C4-9E2F-D656FC6F62A7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5C2-49C4-9E2F-D656FC6F62A7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45C2-49C4-9E2F-D656FC6F62A7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5C2-49C4-9E2F-D656FC6F62A7}"/>
              </c:ext>
            </c:extLst>
          </c:dPt>
          <c:dPt>
            <c:idx val="6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45C2-49C4-9E2F-D656FC6F62A7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45C2-49C4-9E2F-D656FC6F62A7}"/>
              </c:ext>
            </c:extLst>
          </c:dPt>
          <c:dPt>
            <c:idx val="6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45C2-49C4-9E2F-D656FC6F62A7}"/>
              </c:ext>
            </c:extLst>
          </c:dPt>
          <c:dPt>
            <c:idx val="7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45C2-49C4-9E2F-D656FC6F62A7}"/>
              </c:ext>
            </c:extLst>
          </c:dPt>
          <c:dPt>
            <c:idx val="7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45C2-49C4-9E2F-D656FC6F62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GRAPH!$P$3:$P$81</c:f>
              <c:strCache>
                <c:ptCount val="77"/>
                <c:pt idx="0">
                  <c:v>Brazil-Gerdau</c:v>
                </c:pt>
                <c:pt idx="4">
                  <c:v>South Korea-Hyundai</c:v>
                </c:pt>
                <c:pt idx="8">
                  <c:v>Sweden-SSAB</c:v>
                </c:pt>
                <c:pt idx="12">
                  <c:v>Austria-Voestalpine</c:v>
                </c:pt>
                <c:pt idx="16">
                  <c:v>China-China Steel</c:v>
                </c:pt>
                <c:pt idx="20">
                  <c:v>China-Baowu Steel</c:v>
                </c:pt>
                <c:pt idx="24">
                  <c:v>South Korea-POSCO</c:v>
                </c:pt>
                <c:pt idx="28">
                  <c:v>India-SAIL</c:v>
                </c:pt>
                <c:pt idx="32">
                  <c:v>Netherlands-TSN</c:v>
                </c:pt>
                <c:pt idx="36">
                  <c:v>India-TSL</c:v>
                </c:pt>
                <c:pt idx="40">
                  <c:v>Russia-Severstal</c:v>
                </c:pt>
                <c:pt idx="44">
                  <c:v>India-JSL</c:v>
                </c:pt>
                <c:pt idx="48">
                  <c:v>Luxembourg-Arcelormittal</c:v>
                </c:pt>
                <c:pt idx="52">
                  <c:v>Germany-Thyssenkrupp</c:v>
                </c:pt>
                <c:pt idx="56">
                  <c:v>UK-TSUK</c:v>
                </c:pt>
                <c:pt idx="60">
                  <c:v>India-JSW</c:v>
                </c:pt>
                <c:pt idx="64">
                  <c:v>United States-USS</c:v>
                </c:pt>
                <c:pt idx="68">
                  <c:v>India-AMNS</c:v>
                </c:pt>
                <c:pt idx="72">
                  <c:v>India-JSPL</c:v>
                </c:pt>
                <c:pt idx="76">
                  <c:v>United States-Cleveland Cliff</c:v>
                </c:pt>
              </c:strCache>
            </c:strRef>
          </c:cat>
          <c:val>
            <c:numRef>
              <c:f>GRAPH!$Q$3:$Q$80</c:f>
              <c:numCache>
                <c:formatCode>0.00</c:formatCode>
                <c:ptCount val="78"/>
                <c:pt idx="0">
                  <c:v>0.46</c:v>
                </c:pt>
                <c:pt idx="1">
                  <c:v>0.45932405430580253</c:v>
                </c:pt>
                <c:pt idx="2">
                  <c:v>0.36</c:v>
                </c:pt>
                <c:pt idx="4">
                  <c:v>0.42</c:v>
                </c:pt>
                <c:pt idx="5">
                  <c:v>0.42599999999999999</c:v>
                </c:pt>
                <c:pt idx="6">
                  <c:v>0.48</c:v>
                </c:pt>
                <c:pt idx="8">
                  <c:v>0.49571370254456387</c:v>
                </c:pt>
                <c:pt idx="9">
                  <c:v>0.49571370254456387</c:v>
                </c:pt>
                <c:pt idx="10">
                  <c:v>0.47</c:v>
                </c:pt>
                <c:pt idx="12">
                  <c:v>0.64</c:v>
                </c:pt>
                <c:pt idx="13">
                  <c:v>0.60277777777777775</c:v>
                </c:pt>
                <c:pt idx="14">
                  <c:v>0.47</c:v>
                </c:pt>
                <c:pt idx="16">
                  <c:v>0.67100000000000004</c:v>
                </c:pt>
                <c:pt idx="17">
                  <c:v>0.63</c:v>
                </c:pt>
                <c:pt idx="20">
                  <c:v>0.56000000000000005</c:v>
                </c:pt>
                <c:pt idx="21">
                  <c:v>0.66</c:v>
                </c:pt>
                <c:pt idx="24">
                  <c:v>0.77588139678269152</c:v>
                </c:pt>
                <c:pt idx="25">
                  <c:v>0.78900365213421597</c:v>
                </c:pt>
                <c:pt idx="26">
                  <c:v>0.69</c:v>
                </c:pt>
                <c:pt idx="28">
                  <c:v>0.76</c:v>
                </c:pt>
                <c:pt idx="29">
                  <c:v>0.8</c:v>
                </c:pt>
                <c:pt idx="32">
                  <c:v>0.9</c:v>
                </c:pt>
                <c:pt idx="33">
                  <c:v>0.74990103703703714</c:v>
                </c:pt>
                <c:pt idx="34">
                  <c:v>0.85</c:v>
                </c:pt>
                <c:pt idx="36">
                  <c:v>0.87</c:v>
                </c:pt>
                <c:pt idx="37">
                  <c:v>0.86</c:v>
                </c:pt>
                <c:pt idx="38">
                  <c:v>1</c:v>
                </c:pt>
                <c:pt idx="40">
                  <c:v>0.88</c:v>
                </c:pt>
                <c:pt idx="41">
                  <c:v>0.96</c:v>
                </c:pt>
                <c:pt idx="42">
                  <c:v>0.89</c:v>
                </c:pt>
                <c:pt idx="44">
                  <c:v>0.81957701149425299</c:v>
                </c:pt>
                <c:pt idx="45">
                  <c:v>1.0650990307627477</c:v>
                </c:pt>
                <c:pt idx="48">
                  <c:v>1.07</c:v>
                </c:pt>
                <c:pt idx="49">
                  <c:v>0.93</c:v>
                </c:pt>
                <c:pt idx="50">
                  <c:v>0.95</c:v>
                </c:pt>
                <c:pt idx="52">
                  <c:v>1.2524271844660193</c:v>
                </c:pt>
                <c:pt idx="53">
                  <c:v>1.06</c:v>
                </c:pt>
                <c:pt idx="56" formatCode="General">
                  <c:v>1.3</c:v>
                </c:pt>
                <c:pt idx="57">
                  <c:v>0.89</c:v>
                </c:pt>
                <c:pt idx="58">
                  <c:v>0.74</c:v>
                </c:pt>
                <c:pt idx="60" formatCode="General">
                  <c:v>1.19</c:v>
                </c:pt>
                <c:pt idx="61">
                  <c:v>1.0900000000000001</c:v>
                </c:pt>
                <c:pt idx="62">
                  <c:v>1.03</c:v>
                </c:pt>
                <c:pt idx="64">
                  <c:v>1.8786318758815232</c:v>
                </c:pt>
                <c:pt idx="65">
                  <c:v>1.6510502864417567</c:v>
                </c:pt>
                <c:pt idx="68">
                  <c:v>0.75533854166666681</c:v>
                </c:pt>
                <c:pt idx="69">
                  <c:v>1.6085635359116022</c:v>
                </c:pt>
                <c:pt idx="72">
                  <c:v>1.95</c:v>
                </c:pt>
                <c:pt idx="73">
                  <c:v>1.79</c:v>
                </c:pt>
                <c:pt idx="76">
                  <c:v>2.4804878048780492</c:v>
                </c:pt>
                <c:pt idx="77">
                  <c:v>2.535769230769231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45C2-49C4-9E2F-D656FC6F62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182170751"/>
        <c:axId val="2116160127"/>
      </c:barChart>
      <c:catAx>
        <c:axId val="118217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60127"/>
        <c:crosses val="autoZero"/>
        <c:auto val="1"/>
        <c:lblAlgn val="ctr"/>
        <c:lblOffset val="100"/>
        <c:noMultiLvlLbl val="0"/>
      </c:catAx>
      <c:valAx>
        <c:axId val="211616012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18217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72567704876551E-2"/>
          <c:y val="4.9830124575311441E-2"/>
          <c:w val="0.87925258673938766"/>
          <c:h val="0.798852516028927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'Prod_BF BOF'!$A$6:$A$21</c:f>
              <c:strCache>
                <c:ptCount val="16"/>
                <c:pt idx="0">
                  <c:v>ArcelorMittal</c:v>
                </c:pt>
                <c:pt idx="1">
                  <c:v>Baoshan I&amp;S</c:v>
                </c:pt>
                <c:pt idx="2">
                  <c:v>POSCO</c:v>
                </c:pt>
                <c:pt idx="3">
                  <c:v>Tata Steel</c:v>
                </c:pt>
                <c:pt idx="4">
                  <c:v>JSW Steel</c:v>
                </c:pt>
                <c:pt idx="5">
                  <c:v>Cleveland Cliff</c:v>
                </c:pt>
                <c:pt idx="6">
                  <c:v>Hyundai Steel</c:v>
                </c:pt>
                <c:pt idx="7">
                  <c:v>USS</c:v>
                </c:pt>
                <c:pt idx="8">
                  <c:v>Gerdau </c:v>
                </c:pt>
                <c:pt idx="9">
                  <c:v>Severstal</c:v>
                </c:pt>
                <c:pt idx="10">
                  <c:v>SSAB</c:v>
                </c:pt>
                <c:pt idx="11">
                  <c:v>China Steel</c:v>
                </c:pt>
                <c:pt idx="12">
                  <c:v>voestalpine AG</c:v>
                </c:pt>
                <c:pt idx="13">
                  <c:v>Thyssenkrupp</c:v>
                </c:pt>
                <c:pt idx="14">
                  <c:v>JSL</c:v>
                </c:pt>
                <c:pt idx="15">
                  <c:v>JSPL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'Prod_BF BOF'!#REF!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'Prod_BF BOF'!#REF!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F-4D0B-A994-B089D67BD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274319"/>
        <c:axId val="1796452463"/>
      </c:scatterChart>
      <c:valAx>
        <c:axId val="82127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Crude</a:t>
                </a:r>
                <a:r>
                  <a:rPr lang="en-IN" baseline="0"/>
                  <a:t> Steel Production (MTPA)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452463"/>
        <c:crosses val="autoZero"/>
        <c:crossBetween val="midCat"/>
      </c:valAx>
      <c:valAx>
        <c:axId val="179645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BF - BOF Share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7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72567704876551E-2"/>
          <c:y val="4.9830124575311441E-2"/>
          <c:w val="0.87925258673938766"/>
          <c:h val="0.798852516028927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'Prod_BF BOF'!$A$6:$A$21</c:f>
              <c:strCache>
                <c:ptCount val="16"/>
                <c:pt idx="0">
                  <c:v>ArcelorMittal</c:v>
                </c:pt>
                <c:pt idx="1">
                  <c:v>Baoshan I&amp;S</c:v>
                </c:pt>
                <c:pt idx="2">
                  <c:v>POSCO</c:v>
                </c:pt>
                <c:pt idx="3">
                  <c:v>Tata Steel</c:v>
                </c:pt>
                <c:pt idx="4">
                  <c:v>JSW Steel</c:v>
                </c:pt>
                <c:pt idx="5">
                  <c:v>Cleveland Cliff</c:v>
                </c:pt>
                <c:pt idx="6">
                  <c:v>Hyundai Steel</c:v>
                </c:pt>
                <c:pt idx="7">
                  <c:v>USS</c:v>
                </c:pt>
                <c:pt idx="8">
                  <c:v>Gerdau </c:v>
                </c:pt>
                <c:pt idx="9">
                  <c:v>Severstal</c:v>
                </c:pt>
                <c:pt idx="10">
                  <c:v>SSAB</c:v>
                </c:pt>
                <c:pt idx="11">
                  <c:v>China Steel</c:v>
                </c:pt>
                <c:pt idx="12">
                  <c:v>voestalpine AG</c:v>
                </c:pt>
                <c:pt idx="13">
                  <c:v>Thyssenkrupp</c:v>
                </c:pt>
                <c:pt idx="14">
                  <c:v>JSL</c:v>
                </c:pt>
                <c:pt idx="15">
                  <c:v>JSPL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'Prod_BF BOF'!#REF!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'Prod_BF BOF'!#REF!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495-4FD8-823C-809F8CDBE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274319"/>
        <c:axId val="1796452463"/>
      </c:scatterChart>
      <c:valAx>
        <c:axId val="82127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Crude</a:t>
                </a:r>
                <a:r>
                  <a:rPr lang="en-IN" baseline="0"/>
                  <a:t> Steel Production (MTPA)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452463"/>
        <c:crosses val="autoZero"/>
        <c:crossBetween val="midCat"/>
      </c:valAx>
      <c:valAx>
        <c:axId val="179645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BF - BOF Share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7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Indian Steel Making_FY25 Air emissions (kg/tcs)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650514839491216E-2"/>
          <c:y val="0.17224489795918368"/>
          <c:w val="0.94669897032101757"/>
          <c:h val="0.683388110320796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9CC-4D93-AFF0-B3325A835D2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9CC-4D93-AFF0-B3325A835D2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9CC-4D93-AFF0-B3325A835D2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9CC-4D93-AFF0-B3325A835D2B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9CC-4D93-AFF0-B3325A835D2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9CC-4D93-AFF0-B3325A835D2B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CC-4D93-AFF0-B3325A835D2B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9CC-4D93-AFF0-B3325A835D2B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CC-4D93-AFF0-B3325A835D2B}"/>
              </c:ext>
            </c:extLst>
          </c:dPt>
          <c:dPt>
            <c:idx val="10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9CC-4D93-AFF0-B3325A835D2B}"/>
              </c:ext>
            </c:extLst>
          </c:dPt>
          <c:dPt>
            <c:idx val="11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CC-4D93-AFF0-B3325A835D2B}"/>
              </c:ext>
            </c:extLst>
          </c:dPt>
          <c:dPt>
            <c:idx val="12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9CC-4D93-AFF0-B3325A835D2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9CC-4D93-AFF0-B3325A835D2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9CC-4D93-AFF0-B3325A835D2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9CC-4D93-AFF0-B3325A835D2B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9CC-4D93-AFF0-B3325A835D2B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9CC-4D93-AFF0-B3325A835D2B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9CC-4D93-AFF0-B3325A835D2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9CC-4D93-AFF0-B3325A835D2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9CC-4D93-AFF0-B3325A835D2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9CC-4D93-AFF0-B3325A835D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Indian!$H$5:$H$24</c:f>
              <c:strCache>
                <c:ptCount val="20"/>
                <c:pt idx="0">
                  <c:v>TSL</c:v>
                </c:pt>
                <c:pt idx="1">
                  <c:v>JSW</c:v>
                </c:pt>
                <c:pt idx="2">
                  <c:v>SAIL</c:v>
                </c:pt>
                <c:pt idx="3">
                  <c:v>JSPL</c:v>
                </c:pt>
                <c:pt idx="4">
                  <c:v>AMNS</c:v>
                </c:pt>
                <c:pt idx="5">
                  <c:v>JSL</c:v>
                </c:pt>
                <c:pt idx="7">
                  <c:v>SAIL</c:v>
                </c:pt>
                <c:pt idx="8">
                  <c:v>JSW</c:v>
                </c:pt>
                <c:pt idx="9">
                  <c:v>TSL</c:v>
                </c:pt>
                <c:pt idx="10">
                  <c:v>JSL</c:v>
                </c:pt>
                <c:pt idx="11">
                  <c:v>AMNS</c:v>
                </c:pt>
                <c:pt idx="12">
                  <c:v>JSPL</c:v>
                </c:pt>
                <c:pt idx="14">
                  <c:v>SAIL</c:v>
                </c:pt>
                <c:pt idx="15">
                  <c:v>TSL</c:v>
                </c:pt>
                <c:pt idx="16">
                  <c:v>JSL</c:v>
                </c:pt>
                <c:pt idx="17">
                  <c:v>JSW</c:v>
                </c:pt>
                <c:pt idx="18">
                  <c:v>AMNS</c:v>
                </c:pt>
                <c:pt idx="19">
                  <c:v>JSPL</c:v>
                </c:pt>
              </c:strCache>
            </c:strRef>
          </c:cat>
          <c:val>
            <c:numRef>
              <c:f>Indian!$I$5:$I$24</c:f>
              <c:numCache>
                <c:formatCode>0.00</c:formatCode>
                <c:ptCount val="20"/>
                <c:pt idx="0">
                  <c:v>0.31</c:v>
                </c:pt>
                <c:pt idx="1">
                  <c:v>0.36</c:v>
                </c:pt>
                <c:pt idx="2">
                  <c:v>0.56000000000000005</c:v>
                </c:pt>
                <c:pt idx="3">
                  <c:v>0.59</c:v>
                </c:pt>
                <c:pt idx="4">
                  <c:v>0.66118784530386732</c:v>
                </c:pt>
                <c:pt idx="5">
                  <c:v>0.67487147071217868</c:v>
                </c:pt>
                <c:pt idx="7">
                  <c:v>0.95</c:v>
                </c:pt>
                <c:pt idx="8">
                  <c:v>1.51</c:v>
                </c:pt>
                <c:pt idx="9">
                  <c:v>1.62</c:v>
                </c:pt>
                <c:pt idx="10">
                  <c:v>1.9303371260008426</c:v>
                </c:pt>
                <c:pt idx="11">
                  <c:v>2.2472375690607733</c:v>
                </c:pt>
                <c:pt idx="12">
                  <c:v>3.88</c:v>
                </c:pt>
                <c:pt idx="14">
                  <c:v>0.8</c:v>
                </c:pt>
                <c:pt idx="15">
                  <c:v>0.86</c:v>
                </c:pt>
                <c:pt idx="16">
                  <c:v>1.0650990307627477</c:v>
                </c:pt>
                <c:pt idx="17">
                  <c:v>1.0900000000000001</c:v>
                </c:pt>
                <c:pt idx="18">
                  <c:v>1.6085635359116022</c:v>
                </c:pt>
                <c:pt idx="19">
                  <c:v>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C-4D93-AFF0-B3325A835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375599743"/>
        <c:axId val="1689133583"/>
      </c:barChart>
      <c:catAx>
        <c:axId val="37559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33583"/>
        <c:crosses val="autoZero"/>
        <c:auto val="1"/>
        <c:lblAlgn val="ctr"/>
        <c:lblOffset val="100"/>
        <c:noMultiLvlLbl val="0"/>
      </c:catAx>
      <c:valAx>
        <c:axId val="168913358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37559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305830</xdr:colOff>
      <xdr:row>20</xdr:row>
      <xdr:rowOff>183223</xdr:rowOff>
    </xdr:from>
    <xdr:to>
      <xdr:col>34</xdr:col>
      <xdr:colOff>414981</xdr:colOff>
      <xdr:row>43</xdr:row>
      <xdr:rowOff>76873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7F9989-440F-1081-2A1E-EC860B2F4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388661</xdr:colOff>
      <xdr:row>4</xdr:row>
      <xdr:rowOff>146202</xdr:rowOff>
    </xdr:from>
    <xdr:to>
      <xdr:col>35</xdr:col>
      <xdr:colOff>371011</xdr:colOff>
      <xdr:row>27</xdr:row>
      <xdr:rowOff>39852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7A689E-9690-4A4A-BAB3-9307AF87C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527978</xdr:colOff>
      <xdr:row>3</xdr:row>
      <xdr:rowOff>114157</xdr:rowOff>
    </xdr:from>
    <xdr:to>
      <xdr:col>35</xdr:col>
      <xdr:colOff>510328</xdr:colOff>
      <xdr:row>26</xdr:row>
      <xdr:rowOff>7808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703B53-6D0B-45BD-8B38-03574B24E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0.09204</cdr:x>
      <cdr:y>0.14699</cdr:y>
    </cdr:from>
    <cdr:to>
      <cdr:x>0.11908</cdr:x>
      <cdr:y>0.17507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3932364-9734-2772-AFF9-65E4855E9D2B}"/>
            </a:ext>
          </a:extLst>
        </cdr:cNvPr>
        <cdr:cNvSpPr/>
      </cdr:nvSpPr>
      <cdr:spPr>
        <a:xfrm xmlns:a="http://schemas.openxmlformats.org/drawingml/2006/main">
          <a:off x="907805" y="664706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0.09142</cdr:x>
      <cdr:y>0.24152</cdr:y>
    </cdr:from>
    <cdr:to>
      <cdr:x>0.11847</cdr:x>
      <cdr:y>0.26961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1506076-4CF2-E0AF-C3B5-0BD31403E708}"/>
            </a:ext>
          </a:extLst>
        </cdr:cNvPr>
        <cdr:cNvSpPr/>
      </cdr:nvSpPr>
      <cdr:spPr>
        <a:xfrm xmlns:a="http://schemas.openxmlformats.org/drawingml/2006/main">
          <a:off x="901700" y="1092200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7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0.09142</cdr:x>
      <cdr:y>0.19378</cdr:y>
    </cdr:from>
    <cdr:to>
      <cdr:x>0.11847</cdr:x>
      <cdr:y>0.22187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1506076-4CF2-E0AF-C3B5-0BD31403E708}"/>
            </a:ext>
          </a:extLst>
        </cdr:cNvPr>
        <cdr:cNvSpPr/>
      </cdr:nvSpPr>
      <cdr:spPr>
        <a:xfrm xmlns:a="http://schemas.openxmlformats.org/drawingml/2006/main">
          <a:off x="901700" y="876300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0.12037</cdr:x>
      <cdr:y>0.13154</cdr:y>
    </cdr:from>
    <cdr:to>
      <cdr:x>0.2163</cdr:x>
      <cdr:y>0.17367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8C95484-3164-CD3E-6B53-CA0623AF34FF}"/>
            </a:ext>
          </a:extLst>
        </cdr:cNvPr>
        <cdr:cNvSpPr txBox="1"/>
      </cdr:nvSpPr>
      <cdr:spPr>
        <a:xfrm xmlns:a="http://schemas.openxmlformats.org/drawingml/2006/main">
          <a:off x="1187205" y="594856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/>
            <a:t>FY24/CY23</a:t>
          </a:r>
        </a:p>
      </cdr:txBody>
    </cdr:sp>
  </cdr:relSizeAnchor>
  <cdr:relSizeAnchor xmlns:cdr="http://schemas.openxmlformats.org/drawingml/2006/chartDrawing">
    <cdr:from>
      <cdr:x>0.1204</cdr:x>
      <cdr:y>0.17131</cdr:y>
    </cdr:from>
    <cdr:to>
      <cdr:x>0.21633</cdr:x>
      <cdr:y>0.21344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235601F-59A0-B754-7037-AD5FC4310184}"/>
            </a:ext>
          </a:extLst>
        </cdr:cNvPr>
        <cdr:cNvSpPr txBox="1"/>
      </cdr:nvSpPr>
      <cdr:spPr>
        <a:xfrm xmlns:a="http://schemas.openxmlformats.org/drawingml/2006/main">
          <a:off x="1187450" y="774700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FY25/CY24</a:t>
          </a:r>
        </a:p>
      </cdr:txBody>
    </cdr:sp>
  </cdr:relSizeAnchor>
  <cdr:relSizeAnchor xmlns:cdr="http://schemas.openxmlformats.org/drawingml/2006/chartDrawing">
    <cdr:from>
      <cdr:x>0.12233</cdr:x>
      <cdr:y>0.21906</cdr:y>
    </cdr:from>
    <cdr:to>
      <cdr:x>0.21826</cdr:x>
      <cdr:y>0.26118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B235601F-59A0-B754-7037-AD5FC4310184}"/>
            </a:ext>
          </a:extLst>
        </cdr:cNvPr>
        <cdr:cNvSpPr txBox="1"/>
      </cdr:nvSpPr>
      <cdr:spPr>
        <a:xfrm xmlns:a="http://schemas.openxmlformats.org/drawingml/2006/main">
          <a:off x="1206500" y="990600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FY26/CY25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0.09204</cdr:x>
      <cdr:y>0.14699</cdr:y>
    </cdr:from>
    <cdr:to>
      <cdr:x>0.11908</cdr:x>
      <cdr:y>0.17507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3932364-9734-2772-AFF9-65E4855E9D2B}"/>
            </a:ext>
          </a:extLst>
        </cdr:cNvPr>
        <cdr:cNvSpPr/>
      </cdr:nvSpPr>
      <cdr:spPr>
        <a:xfrm xmlns:a="http://schemas.openxmlformats.org/drawingml/2006/main">
          <a:off x="907805" y="664706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0.09142</cdr:x>
      <cdr:y>0.24152</cdr:y>
    </cdr:from>
    <cdr:to>
      <cdr:x>0.11847</cdr:x>
      <cdr:y>0.26961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1506076-4CF2-E0AF-C3B5-0BD31403E708}"/>
            </a:ext>
          </a:extLst>
        </cdr:cNvPr>
        <cdr:cNvSpPr/>
      </cdr:nvSpPr>
      <cdr:spPr>
        <a:xfrm xmlns:a="http://schemas.openxmlformats.org/drawingml/2006/main">
          <a:off x="901700" y="1092200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7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0.09142</cdr:x>
      <cdr:y>0.19378</cdr:y>
    </cdr:from>
    <cdr:to>
      <cdr:x>0.11847</cdr:x>
      <cdr:y>0.22187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1506076-4CF2-E0AF-C3B5-0BD31403E708}"/>
            </a:ext>
          </a:extLst>
        </cdr:cNvPr>
        <cdr:cNvSpPr/>
      </cdr:nvSpPr>
      <cdr:spPr>
        <a:xfrm xmlns:a="http://schemas.openxmlformats.org/drawingml/2006/main">
          <a:off x="901700" y="876300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0.12037</cdr:x>
      <cdr:y>0.13154</cdr:y>
    </cdr:from>
    <cdr:to>
      <cdr:x>0.2163</cdr:x>
      <cdr:y>0.17367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8C95484-3164-CD3E-6B53-CA0623AF34FF}"/>
            </a:ext>
          </a:extLst>
        </cdr:cNvPr>
        <cdr:cNvSpPr txBox="1"/>
      </cdr:nvSpPr>
      <cdr:spPr>
        <a:xfrm xmlns:a="http://schemas.openxmlformats.org/drawingml/2006/main">
          <a:off x="1187205" y="594856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/>
            <a:t>FY24/CY23</a:t>
          </a:r>
        </a:p>
      </cdr:txBody>
    </cdr:sp>
  </cdr:relSizeAnchor>
  <cdr:relSizeAnchor xmlns:cdr="http://schemas.openxmlformats.org/drawingml/2006/chartDrawing">
    <cdr:from>
      <cdr:x>0.1204</cdr:x>
      <cdr:y>0.17131</cdr:y>
    </cdr:from>
    <cdr:to>
      <cdr:x>0.21633</cdr:x>
      <cdr:y>0.21344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235601F-59A0-B754-7037-AD5FC4310184}"/>
            </a:ext>
          </a:extLst>
        </cdr:cNvPr>
        <cdr:cNvSpPr txBox="1"/>
      </cdr:nvSpPr>
      <cdr:spPr>
        <a:xfrm xmlns:a="http://schemas.openxmlformats.org/drawingml/2006/main">
          <a:off x="1187450" y="774700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FY25/CY24</a:t>
          </a:r>
        </a:p>
      </cdr:txBody>
    </cdr:sp>
  </cdr:relSizeAnchor>
  <cdr:relSizeAnchor xmlns:cdr="http://schemas.openxmlformats.org/drawingml/2006/chartDrawing">
    <cdr:from>
      <cdr:x>0.12233</cdr:x>
      <cdr:y>0.21906</cdr:y>
    </cdr:from>
    <cdr:to>
      <cdr:x>0.21826</cdr:x>
      <cdr:y>0.26118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B235601F-59A0-B754-7037-AD5FC4310184}"/>
            </a:ext>
          </a:extLst>
        </cdr:cNvPr>
        <cdr:cNvSpPr txBox="1"/>
      </cdr:nvSpPr>
      <cdr:spPr>
        <a:xfrm xmlns:a="http://schemas.openxmlformats.org/drawingml/2006/main">
          <a:off x="1206500" y="990600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FY26/CY25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0.09204</cdr:x>
      <cdr:y>0.14699</cdr:y>
    </cdr:from>
    <cdr:to>
      <cdr:x>0.11908</cdr:x>
      <cdr:y>0.17507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3932364-9734-2772-AFF9-65E4855E9D2B}"/>
            </a:ext>
          </a:extLst>
        </cdr:cNvPr>
        <cdr:cNvSpPr/>
      </cdr:nvSpPr>
      <cdr:spPr>
        <a:xfrm xmlns:a="http://schemas.openxmlformats.org/drawingml/2006/main">
          <a:off x="907805" y="664706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0.09142</cdr:x>
      <cdr:y>0.24152</cdr:y>
    </cdr:from>
    <cdr:to>
      <cdr:x>0.11847</cdr:x>
      <cdr:y>0.26961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1506076-4CF2-E0AF-C3B5-0BD31403E708}"/>
            </a:ext>
          </a:extLst>
        </cdr:cNvPr>
        <cdr:cNvSpPr/>
      </cdr:nvSpPr>
      <cdr:spPr>
        <a:xfrm xmlns:a="http://schemas.openxmlformats.org/drawingml/2006/main">
          <a:off x="901700" y="1092200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7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0.09142</cdr:x>
      <cdr:y>0.19378</cdr:y>
    </cdr:from>
    <cdr:to>
      <cdr:x>0.11847</cdr:x>
      <cdr:y>0.22187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1506076-4CF2-E0AF-C3B5-0BD31403E708}"/>
            </a:ext>
          </a:extLst>
        </cdr:cNvPr>
        <cdr:cNvSpPr/>
      </cdr:nvSpPr>
      <cdr:spPr>
        <a:xfrm xmlns:a="http://schemas.openxmlformats.org/drawingml/2006/main">
          <a:off x="901700" y="876300"/>
          <a:ext cx="266700" cy="127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0.12037</cdr:x>
      <cdr:y>0.13154</cdr:y>
    </cdr:from>
    <cdr:to>
      <cdr:x>0.2163</cdr:x>
      <cdr:y>0.17367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8C95484-3164-CD3E-6B53-CA0623AF34FF}"/>
            </a:ext>
          </a:extLst>
        </cdr:cNvPr>
        <cdr:cNvSpPr txBox="1"/>
      </cdr:nvSpPr>
      <cdr:spPr>
        <a:xfrm xmlns:a="http://schemas.openxmlformats.org/drawingml/2006/main">
          <a:off x="1187205" y="594856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/>
            <a:t>FY24/CY23</a:t>
          </a:r>
        </a:p>
      </cdr:txBody>
    </cdr:sp>
  </cdr:relSizeAnchor>
  <cdr:relSizeAnchor xmlns:cdr="http://schemas.openxmlformats.org/drawingml/2006/chartDrawing">
    <cdr:from>
      <cdr:x>0.1204</cdr:x>
      <cdr:y>0.17131</cdr:y>
    </cdr:from>
    <cdr:to>
      <cdr:x>0.21633</cdr:x>
      <cdr:y>0.21344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235601F-59A0-B754-7037-AD5FC4310184}"/>
            </a:ext>
          </a:extLst>
        </cdr:cNvPr>
        <cdr:cNvSpPr txBox="1"/>
      </cdr:nvSpPr>
      <cdr:spPr>
        <a:xfrm xmlns:a="http://schemas.openxmlformats.org/drawingml/2006/main">
          <a:off x="1187450" y="774700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FY25/CY24</a:t>
          </a:r>
        </a:p>
      </cdr:txBody>
    </cdr:sp>
  </cdr:relSizeAnchor>
  <cdr:relSizeAnchor xmlns:cdr="http://schemas.openxmlformats.org/drawingml/2006/chartDrawing">
    <cdr:from>
      <cdr:x>0.12233</cdr:x>
      <cdr:y>0.21906</cdr:y>
    </cdr:from>
    <cdr:to>
      <cdr:x>0.21826</cdr:x>
      <cdr:y>0.26118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B235601F-59A0-B754-7037-AD5FC4310184}"/>
            </a:ext>
          </a:extLst>
        </cdr:cNvPr>
        <cdr:cNvSpPr txBox="1"/>
      </cdr:nvSpPr>
      <cdr:spPr>
        <a:xfrm xmlns:a="http://schemas.openxmlformats.org/drawingml/2006/main">
          <a:off x="1206500" y="990600"/>
          <a:ext cx="9461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FY26/CY25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428624</xdr:colOff>
      <xdr:row>25</xdr:row>
      <xdr:rowOff>117474</xdr:rowOff>
    </xdr:from>
    <xdr:to>
      <xdr:col>17</xdr:col>
      <xdr:colOff>590550</xdr:colOff>
      <xdr:row>40</xdr:row>
      <xdr:rowOff>158749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9733DF-63E2-D529-C358-710628BDB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428624</xdr:colOff>
      <xdr:row>32</xdr:row>
      <xdr:rowOff>117474</xdr:rowOff>
    </xdr:from>
    <xdr:to>
      <xdr:col>18</xdr:col>
      <xdr:colOff>590550</xdr:colOff>
      <xdr:row>47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764F8-31AA-4218-9EA5-8044DE7FE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498474</xdr:colOff>
      <xdr:row>2</xdr:row>
      <xdr:rowOff>0</xdr:rowOff>
    </xdr:from>
    <xdr:to>
      <xdr:col>18</xdr:col>
      <xdr:colOff>253999</xdr:colOff>
      <xdr:row>18</xdr:row>
      <xdr:rowOff>9525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AB2F4AF1-2B13-7E2F-E47C-7F03F25D0752}"/>
            </a:ext>
          </a:extLst>
        </xdr:cNvPr>
        <xdr:cNvGrpSpPr/>
      </xdr:nvGrpSpPr>
      <xdr:grpSpPr>
        <a:xfrm>
          <a:off x="8353424" y="368300"/>
          <a:ext cx="5241925" cy="2955925"/>
          <a:chOff x="5984874" y="368300"/>
          <a:chExt cx="5241925" cy="2955925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E1A38392-7E7C-A199-E92E-4967845523CE}"/>
              </a:ext>
            </a:extLst>
          </xdr:cNvPr>
          <xdr:cNvGraphicFramePr/>
        </xdr:nvGraphicFramePr>
        <xdr:xfrm>
          <a:off x="5984874" y="368300"/>
          <a:ext cx="5241925" cy="29559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387B0A4-1FD6-5A08-AA76-53DBF35A67AB}"/>
              </a:ext>
            </a:extLst>
          </xdr:cNvPr>
          <xdr:cNvSpPr/>
        </xdr:nvSpPr>
        <xdr:spPr>
          <a:xfrm>
            <a:off x="6197600" y="869950"/>
            <a:ext cx="228600" cy="107950"/>
          </a:xfrm>
          <a:prstGeom prst="rect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32DFCAA-1149-44DB-AEC6-72608FD99836}"/>
              </a:ext>
            </a:extLst>
          </xdr:cNvPr>
          <xdr:cNvSpPr/>
        </xdr:nvSpPr>
        <xdr:spPr>
          <a:xfrm>
            <a:off x="6203950" y="1035050"/>
            <a:ext cx="228600" cy="107950"/>
          </a:xfrm>
          <a:prstGeom prst="rect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EF510E68-A695-48AA-9EB3-99F2C2B72224}"/>
              </a:ext>
            </a:extLst>
          </xdr:cNvPr>
          <xdr:cNvSpPr/>
        </xdr:nvSpPr>
        <xdr:spPr>
          <a:xfrm>
            <a:off x="6203950" y="1200150"/>
            <a:ext cx="228600" cy="107950"/>
          </a:xfrm>
          <a:prstGeom prst="rect">
            <a:avLst/>
          </a:prstGeom>
          <a:solidFill>
            <a:schemeClr val="accent2"/>
          </a:solidFill>
          <a:ln>
            <a:solidFill>
              <a:schemeClr val="accent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E1CBA1E-EFD2-F94D-E4AD-49CD5A345E7D}"/>
              </a:ext>
            </a:extLst>
          </xdr:cNvPr>
          <xdr:cNvSpPr txBox="1"/>
        </xdr:nvSpPr>
        <xdr:spPr>
          <a:xfrm>
            <a:off x="6445250" y="787400"/>
            <a:ext cx="1447800" cy="2159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900"/>
              <a:t>Dust Intensity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9A7546D-47B0-8233-EC52-83E004DC2586}"/>
              </a:ext>
            </a:extLst>
          </xdr:cNvPr>
          <xdr:cNvSpPr txBox="1"/>
        </xdr:nvSpPr>
        <xdr:spPr>
          <a:xfrm>
            <a:off x="6032500" y="2120900"/>
            <a:ext cx="958850" cy="1968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900"/>
              <a:t>Dust Benchmark</a:t>
            </a:r>
          </a:p>
        </xdr:txBody>
      </xdr: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1AF4540B-3BC8-D4CE-A60A-6BF909CAD6BE}"/>
              </a:ext>
            </a:extLst>
          </xdr:cNvPr>
          <xdr:cNvCxnSpPr/>
        </xdr:nvCxnSpPr>
        <xdr:spPr>
          <a:xfrm flipH="1">
            <a:off x="6235700" y="2330450"/>
            <a:ext cx="6350" cy="209550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0.08843</cdr:x>
      <cdr:y>0.19764</cdr:y>
    </cdr:from>
    <cdr:to>
      <cdr:x>0.36463</cdr:x>
      <cdr:y>0.27068</cdr:y>
    </cdr:to>
    <cdr:sp macro="" textlink="">
      <cdr:nvSpPr>
        <cdr:cNvPr id="2" name="TextBox 6">
          <a:extLst xmlns:a="http://schemas.openxmlformats.org/drawingml/2006/main">
            <a:ext uri="{FF2B5EF4-FFF2-40B4-BE49-F238E27FC236}">
              <a16:creationId xmlns:a16="http://schemas.microsoft.com/office/drawing/2014/main" id="{2E1CBA1E-EFD2-F94D-E4AD-49CD5A345E7D}"/>
            </a:ext>
          </a:extLst>
        </cdr:cNvPr>
        <cdr:cNvSpPr txBox="1"/>
      </cdr:nvSpPr>
      <cdr:spPr>
        <a:xfrm xmlns:a="http://schemas.openxmlformats.org/drawingml/2006/main">
          <a:off x="463550" y="584200"/>
          <a:ext cx="1447800" cy="2159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900"/>
            <a:t>SO2 Intensity</a:t>
          </a:r>
        </a:p>
      </cdr:txBody>
    </cdr:sp>
  </cdr:relSizeAnchor>
  <cdr:relSizeAnchor xmlns:cdr="http://schemas.openxmlformats.org/drawingml/2006/chartDrawing">
    <cdr:from>
      <cdr:x>0.08722</cdr:x>
      <cdr:y>0.25994</cdr:y>
    </cdr:from>
    <cdr:to>
      <cdr:x>0.36342</cdr:x>
      <cdr:y>0.33083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2E1CBA1E-EFD2-F94D-E4AD-49CD5A345E7D}"/>
            </a:ext>
          </a:extLst>
        </cdr:cNvPr>
        <cdr:cNvSpPr txBox="1"/>
      </cdr:nvSpPr>
      <cdr:spPr>
        <a:xfrm xmlns:a="http://schemas.openxmlformats.org/drawingml/2006/main">
          <a:off x="457200" y="768350"/>
          <a:ext cx="1447800" cy="2095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900"/>
            <a:t>NOx Intensity</a:t>
          </a:r>
        </a:p>
      </cdr:txBody>
    </cdr:sp>
  </cdr:relSizeAnchor>
  <cdr:relSizeAnchor xmlns:cdr="http://schemas.openxmlformats.org/drawingml/2006/chartDrawing">
    <cdr:from>
      <cdr:x>0.25803</cdr:x>
      <cdr:y>0.4898</cdr:y>
    </cdr:from>
    <cdr:to>
      <cdr:x>0.44276</cdr:x>
      <cdr:y>0.55639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2E1CBA1E-EFD2-F94D-E4AD-49CD5A345E7D}"/>
            </a:ext>
          </a:extLst>
        </cdr:cNvPr>
        <cdr:cNvSpPr txBox="1"/>
      </cdr:nvSpPr>
      <cdr:spPr>
        <a:xfrm xmlns:a="http://schemas.openxmlformats.org/drawingml/2006/main">
          <a:off x="1352550" y="1447800"/>
          <a:ext cx="968376" cy="196850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 panose="020F0502020204030204"/>
            </a:defRPr>
          </a:lvl9pPr>
        </a:lstStyle>
        <a:p xmlns:a="http://schemas.openxmlformats.org/drawingml/2006/main">
          <a:r>
            <a:rPr lang="en-IN" sz="900"/>
            <a:t>SO2 Benchmark</a:t>
          </a:r>
        </a:p>
      </cdr:txBody>
    </cdr:sp>
  </cdr:relSizeAnchor>
  <cdr:relSizeAnchor xmlns:cdr="http://schemas.openxmlformats.org/drawingml/2006/chartDrawing">
    <cdr:from>
      <cdr:x>0.66505</cdr:x>
      <cdr:y>0.49409</cdr:y>
    </cdr:from>
    <cdr:to>
      <cdr:x>0.84494</cdr:x>
      <cdr:y>0.56069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CB810DC5-9F69-D255-2D82-BACBF7E379A8}"/>
            </a:ext>
          </a:extLst>
        </cdr:cNvPr>
        <cdr:cNvSpPr txBox="1"/>
      </cdr:nvSpPr>
      <cdr:spPr>
        <a:xfrm xmlns:a="http://schemas.openxmlformats.org/drawingml/2006/main">
          <a:off x="3486150" y="1460500"/>
          <a:ext cx="942976" cy="196850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900"/>
            <a:t>NOx Benchmark</a:t>
          </a:r>
        </a:p>
      </cdr:txBody>
    </cdr:sp>
  </cdr:relSizeAnchor>
  <cdr:relSizeAnchor xmlns:cdr="http://schemas.openxmlformats.org/drawingml/2006/chartDrawing">
    <cdr:from>
      <cdr:x>0.70139</cdr:x>
      <cdr:y>0.56069</cdr:y>
    </cdr:from>
    <cdr:to>
      <cdr:x>0.7026</cdr:x>
      <cdr:y>0.63158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1AF4540B-3BC8-D4CE-A60A-6BF909CAD6BE}"/>
            </a:ext>
          </a:extLst>
        </cdr:cNvPr>
        <cdr:cNvCxnSpPr/>
      </cdr:nvCxnSpPr>
      <cdr:spPr>
        <a:xfrm xmlns:a="http://schemas.openxmlformats.org/drawingml/2006/main" flipH="1">
          <a:off x="3676650" y="1657350"/>
          <a:ext cx="6350" cy="20955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0.3719</cdr:x>
      <cdr:y>0.55854</cdr:y>
    </cdr:from>
    <cdr:to>
      <cdr:x>0.37311</cdr:x>
      <cdr:y>0.62943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1AF4540B-3BC8-D4CE-A60A-6BF909CAD6BE}"/>
            </a:ext>
          </a:extLst>
        </cdr:cNvPr>
        <cdr:cNvCxnSpPr/>
      </cdr:nvCxnSpPr>
      <cdr:spPr>
        <a:xfrm xmlns:a="http://schemas.openxmlformats.org/drawingml/2006/main" flipH="1">
          <a:off x="1949450" y="1651000"/>
          <a:ext cx="6350" cy="20955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EEDC9-99E3-4100-970B-DC4E8D40237F}" name="Global" displayName="Global" ref="A2:N79" totalsRowShown="0" headerRowDxfId="37">
  <autoFilter ref="A2:N79" xr:uid="{61EEEDC9-99E3-4100-970B-DC4E8D40237F}"/>
  <tableColumns count="14">
    <tableColumn id="12" xr3:uid="{110FCFEA-F283-4A6F-B9B8-91E7FC14110D}" name="Country" dataDxfId="36"/>
    <tableColumn id="1" xr3:uid="{D25EDB0F-ED34-403F-8816-95FFC203E3D0}" name="Company"/>
    <tableColumn id="13" xr3:uid="{FF51F1EC-CF28-4AAD-A9A0-4A4A8BBFCC11}" name="Column2" dataDxfId="35">
      <calculatedColumnFormula>_xlfn.CONCAT(Global[[#This Row],[Country]], "-", Global[[#This Row],[Company]])</calculatedColumnFormula>
    </tableColumn>
    <tableColumn id="3" xr3:uid="{185730F2-9F2D-45F3-BA06-1B1CC201D01E}" name="FY/CY"/>
    <tableColumn id="4" xr3:uid="{3E3FF16B-DC9A-4355-B237-ED99BB7A2F87}" name="CS Production (MTPA)"/>
    <tableColumn id="9" xr3:uid="{987584D1-270F-4D10-A126-0261A1C30533}" name="Dust load (tonnes)"/>
    <tableColumn id="10" xr3:uid="{C1A08BBA-9247-4B38-9575-30AA96FA8F4E}" name="SO2 load (tonnes)"/>
    <tableColumn id="11" xr3:uid="{8991CF9C-9CE1-4B9F-ADDA-ED4881D9382D}" name="NOx load (tonnes)"/>
    <tableColumn id="5" xr3:uid="{03D80A6C-4057-4848-B5F8-4A13BF816657}" name="Dust load (kg/tcs)2" dataDxfId="34"/>
    <tableColumn id="6" xr3:uid="{F671EA14-4FF7-41B5-9FE4-AE5BB5324974}" name="SO2 load (kg/tcs)3" dataDxfId="33"/>
    <tableColumn id="7" xr3:uid="{4846E6D8-FAF9-426B-B05A-0850CFC878B6}" name="NOx load (kg/tcs)4" dataDxfId="32"/>
    <tableColumn id="8" xr3:uid="{22727587-5A63-4A08-9504-BA1AF147B8D9}" name="Source"/>
    <tableColumn id="2" xr3:uid="{5E9D558F-B680-4CB7-B127-053BC97993F8}" name="Column1" dataDxfId="31"/>
    <tableColumn id="14" xr3:uid="{3C476699-C1F7-467B-8DEC-31730F731818}" name="__PowerAppsId__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6D49EC-C612-4140-858B-2819348AAC89}" name="AQI" displayName="AQI" ref="A3:O19" totalsRowShown="0">
  <autoFilter ref="A3:O19" xr:uid="{976D49EC-C612-4140-858B-2819348AAC89}"/>
  <tableColumns count="15">
    <tableColumn id="1" xr3:uid="{058CE2D2-9E90-4CCE-BDC2-8B05FD40E1E5}" name="FY"/>
    <tableColumn id="2" xr3:uid="{CFFE47DF-6AB3-4581-8CD9-DED22337E814}" name="Site"/>
    <tableColumn id="3" xr3:uid="{AD980145-8C0E-4578-AEBC-0E85BEF2A4F6}" name="Apr"/>
    <tableColumn id="4" xr3:uid="{84EDD318-0C63-4CAC-8324-771C96F734AD}" name="May"/>
    <tableColumn id="5" xr3:uid="{A21A32AC-C187-4CF0-A0F4-EA51234E94D6}" name="Jun"/>
    <tableColumn id="6" xr3:uid="{000D3E80-D720-4124-A23E-F271413B087B}" name="Jul"/>
    <tableColumn id="7" xr3:uid="{DE5AAA33-EDA2-4540-BC54-4C2E7CC9A236}" name="Aug"/>
    <tableColumn id="8" xr3:uid="{80D52F7A-4908-407F-A832-F60D2B5E20D2}" name="Sep"/>
    <tableColumn id="9" xr3:uid="{4E4B76AF-AB98-4C70-8F43-5DF5B50AFA19}" name="Oct"/>
    <tableColumn id="10" xr3:uid="{2F5E8084-8E8C-4214-814F-34E51E5A0EAF}" name="Nov"/>
    <tableColumn id="11" xr3:uid="{8D587D70-4233-4872-A8A1-64C4C560E10C}" name="Dec"/>
    <tableColumn id="12" xr3:uid="{CDE17427-1A76-4FEF-86E2-E507BEC29A86}" name="Jan"/>
    <tableColumn id="13" xr3:uid="{9CD4C595-8628-4F38-8B74-E8AA1143745C}" name="Feb"/>
    <tableColumn id="14" xr3:uid="{F27A7051-33BF-4600-9450-D80D2C0D7ED5}" name="Mar"/>
    <tableColumn id="15" xr3:uid="{8C45D56D-6DC2-44AF-9802-B33B4C383596}" name="average" dataDxfId="29">
      <calculatedColumnFormula>AVERAGE(AQI[[#This Row],[Apr]:[Mar]])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90A874-7B04-46F2-9524-5E456758D471}" name="Index" displayName="Index" ref="Q3:R9" totalsRowShown="0">
  <autoFilter ref="Q3:R9" xr:uid="{9890A874-7B04-46F2-9524-5E456758D471}"/>
  <tableColumns count="2">
    <tableColumn id="1" xr3:uid="{7FD6BD95-0AD8-42A2-92E1-FC219EE21DAA}" name="Index"/>
    <tableColumn id="2" xr3:uid="{6AC18AE2-3147-46B5-B4B7-1019400CADBF}" name="Ran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5F98A6-7BAC-4587-9CCE-B7D3E9C758C0}" name="CSP_BF" displayName="CSP_BF" ref="A5:H37" totalsRowShown="0" headerRowBorderDxfId="28" tableBorderDxfId="27" totalsRowBorderDxfId="26">
  <autoFilter ref="A5:H37" xr:uid="{EE5F98A6-7BAC-4587-9CCE-B7D3E9C758C0}"/>
  <tableColumns count="8">
    <tableColumn id="1" xr3:uid="{6FB294C3-B365-482E-AF05-CE48D1854DFF}" name="Company" dataDxfId="25" dataCellStyle="Percent"/>
    <tableColumn id="10" xr3:uid="{953BA2F4-3D97-4494-969B-439F53D2058C}" name="FY/CY" dataDxfId="24" dataCellStyle="Percent"/>
    <tableColumn id="2" xr3:uid="{6F955E53-3E0A-458C-86D2-1DBFCA6BE51A}" name="CS production" dataDxfId="23"/>
    <tableColumn id="3" xr3:uid="{7D9B7341-AA3F-4D34-A999-781B0BAE2CA7}" name="BF-BOF Share" dataDxfId="22" dataCellStyle="Percent"/>
    <tableColumn id="6" xr3:uid="{EB88E80A-8A38-4098-8762-33CF6AAD4AAF}" name="comment"/>
    <tableColumn id="7" xr3:uid="{29763A0B-8517-413A-9017-B68130BCBC36}" name="BF-BOF+/-25%"/>
    <tableColumn id="8" xr3:uid="{C616E72C-59F4-4372-827D-4DE7C6A3D135}" name="CSP +/-50%"/>
    <tableColumn id="9" xr3:uid="{283DEAD6-0269-4AC4-84A0-EB339609600F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65546A-5211-446A-B02B-E2F9CD7644B7}" name="CSP_BF6" displayName="CSP_BF6" ref="A5:I28" totalsRowShown="0" headerRowBorderDxfId="21" tableBorderDxfId="20" totalsRowBorderDxfId="19">
  <autoFilter ref="A5:I28" xr:uid="{1865546A-5211-446A-B02B-E2F9CD7644B7}"/>
  <tableColumns count="9">
    <tableColumn id="1" xr3:uid="{B8C4004C-0F43-4E0A-9F80-C1448611CA6A}" name="Company" dataDxfId="18" dataCellStyle="Percent"/>
    <tableColumn id="2" xr3:uid="{1AFE01C5-E09D-4EB2-A2DA-F331E931A88F}" name="Total CS production_FY24/CY23" dataDxfId="17"/>
    <tableColumn id="3" xr3:uid="{4259CA8A-432C-493F-B1C9-908047C84502}" name="BF-BOF Share_FY24/CY23" dataDxfId="16" dataCellStyle="Percent"/>
    <tableColumn id="4" xr3:uid="{4922BEAA-2DF3-486A-AD3D-82364C1F51C3}" name="Total CS production_FY25/CY24"/>
    <tableColumn id="5" xr3:uid="{3A629D96-7C78-48E3-91E1-05AC90A2C8E2}" name="BF-BOF Share_FY25/CY24"/>
    <tableColumn id="6" xr3:uid="{D39BD0B4-7E67-4A1E-BAB5-E37C89993812}" name="comment"/>
    <tableColumn id="7" xr3:uid="{4C949EC5-903D-478A-8574-60125569D76A}" name="BF-BOF+/-25%"/>
    <tableColumn id="8" xr3:uid="{D7856882-A208-447F-8103-F4E7E18121EF}" name="CSP +/-50%"/>
    <tableColumn id="9" xr3:uid="{883B52A2-19C0-4AF9-A6D0-7C342F0DC2AD}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F6C2D-DAFF-495B-B2B5-DF32F6571998}" name="TataSteel" displayName="TataSteel" ref="A2:K27" totalsRowShown="0" headerRowDxfId="15">
  <autoFilter ref="A2:K27" xr:uid="{F93F6C2D-DAFF-495B-B2B5-DF32F6571998}">
    <filterColumn colId="1">
      <filters>
        <filter val="FY26"/>
      </filters>
    </filterColumn>
  </autoFilter>
  <tableColumns count="11">
    <tableColumn id="2" xr3:uid="{96F139DA-2C08-4D82-872A-67637E88EAAA}" name="Site"/>
    <tableColumn id="3" xr3:uid="{7A6E7832-4A65-4388-B124-2C608BDA7E11}" name="FY/CY"/>
    <tableColumn id="4" xr3:uid="{0F66AFDD-FFF1-493D-90A5-9F771F6EEC7E}" name="CS Production (MTPA)" dataDxfId="14"/>
    <tableColumn id="5" xr3:uid="{8DB9F876-462C-44A6-821C-31C02437B962}" name="Dust load (tonnes)" dataDxfId="13"/>
    <tableColumn id="6" xr3:uid="{956AC49F-FF75-4A2B-97DE-2D0ECD07553B}" name="SO2 load (tonnes)" dataDxfId="12"/>
    <tableColumn id="7" xr3:uid="{D114D0E1-F62C-47D9-8ECB-0EC76A06ADB2}" name="NOx load (tonnes)" dataDxfId="11"/>
    <tableColumn id="8" xr3:uid="{8A7D845E-8F5A-4D12-96E3-DFECB0A7D4A8}" name="Dust load (kg/tcs)2" dataDxfId="10"/>
    <tableColumn id="9" xr3:uid="{8A7063C7-1F10-4F82-BBDE-21F2D658254E}" name="SO2 load (kg/tcs)3" dataDxfId="9"/>
    <tableColumn id="10" xr3:uid="{50FAF48F-20FE-4124-BDAC-996CB3E76E9F}" name="NOx load (kg/tcs)4" dataDxfId="8"/>
    <tableColumn id="11" xr3:uid="{96AFB182-BB5F-40D8-9D9A-B72E150C6959}" name="Source"/>
    <tableColumn id="1" xr3:uid="{025D8B84-24BD-4364-9747-38791A8D3D36}" name="__PowerAppsId__" dataDxfId="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2B2ABA-8207-42C9-B222-65A2F3E27F1C}" name="Indian_Peers" displayName="Indian_Peers" ref="B2:F20" totalsRowShown="0" headerRowDxfId="6" tableBorderDxfId="5">
  <autoFilter ref="B2:F20" xr:uid="{542B2ABA-8207-42C9-B222-65A2F3E27F1C}"/>
  <tableColumns count="5">
    <tableColumn id="1" xr3:uid="{83BA2029-392A-4195-A1E5-2E6A2CD2631E}" name="ian" dataDxfId="4"/>
    <tableColumn id="2" xr3:uid="{D0622D53-B353-4319-BA18-A8382ED4FDBB}" name="FY/CY" dataDxfId="3"/>
    <tableColumn id="3" xr3:uid="{A57D5C42-2516-4159-8286-770C74EB07F1}" name="Dust load (kg/tcs)" dataDxfId="2"/>
    <tableColumn id="4" xr3:uid="{431546FF-8C39-4B9B-AAB7-75C6A7F04401}" name="SO2 load (kg/tcs)" dataDxfId="1"/>
    <tableColumn id="5" xr3:uid="{19BBF424-075F-43F1-A3ED-2A5C3C86D9DD}" name="NOx load (kg/tc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stainability.posco.com/assets/file/POSCO_Sustainability_Report_2024_eng.pdf" TargetMode="External"/><Relationship Id="rId13" Type="http://schemas.openxmlformats.org/officeDocument/2006/relationships/hyperlink" Target="file:///C:\Users\810126\Downloads\572.sar.en.2025.pdf" TargetMode="External"/><Relationship Id="rId18" Type="http://schemas.openxmlformats.org/officeDocument/2006/relationships/hyperlink" Target="file:///C:\Users\810126\Downloads\SSAB%20Annual%20report%202025%20(1).pdf" TargetMode="External"/><Relationship Id="rId3" Type="http://schemas.openxmlformats.org/officeDocument/2006/relationships/hyperlink" Target="https://d1io3yog0oux5.cloudfront.net/_a8588941e01003fc1297d48ea77754c9/clevelandcliffs/files/pages/clevelandcliffs/db/1149/description/2025+Documents/CLF_SustainabilityReport_2024.pdf" TargetMode="External"/><Relationship Id="rId21" Type="http://schemas.openxmlformats.org/officeDocument/2006/relationships/hyperlink" Target="file:///C:\Users\810126\Downloads\Annual_report_2024_2025_of_thyssenkrupp_AG_WEB%20(4).pdf" TargetMode="External"/><Relationship Id="rId7" Type="http://schemas.openxmlformats.org/officeDocument/2006/relationships/hyperlink" Target="https://reports.voestalpine.com/2024/cr-report/_assets/downloads/entire-va-crr24.pdf" TargetMode="External"/><Relationship Id="rId12" Type="http://schemas.openxmlformats.org/officeDocument/2006/relationships/hyperlink" Target="https://www.voestalpine.com/group/static/sites/group/.downloads/en/publications-2025-26/2025-26-annual-report.pdf" TargetMode="External"/><Relationship Id="rId17" Type="http://schemas.openxmlformats.org/officeDocument/2006/relationships/hyperlink" Target="file:///C:\Users\810126\Downloads\2025_POSCO_Sustainability_Report(ENG).pdf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www.hkexnews.hk/listedco/listconews/sehk/2025/0424/2025042400089.pdf" TargetMode="External"/><Relationship Id="rId16" Type="http://schemas.openxmlformats.org/officeDocument/2006/relationships/hyperlink" Target="https://www.jswsteel.in/jsw-steel-annual-report-2025-26/pdf/JSWSL-Integrated-Annual-Report-FY-2025-26.pdf" TargetMode="External"/><Relationship Id="rId20" Type="http://schemas.openxmlformats.org/officeDocument/2006/relationships/hyperlink" Target="https://sustainability.ussteel.com/documents/d/sustainability/uss_2024-sustainability-report" TargetMode="External"/><Relationship Id="rId1" Type="http://schemas.openxmlformats.org/officeDocument/2006/relationships/hyperlink" Target="https://www.csc.com.tw/csc_e/esg/pdf/hr-2024e.pdf" TargetMode="External"/><Relationship Id="rId6" Type="http://schemas.openxmlformats.org/officeDocument/2006/relationships/hyperlink" Target="file:///C:\Users\810126\Downloads\SSAB_Annual_report_2024.pdf" TargetMode="External"/><Relationship Id="rId11" Type="http://schemas.openxmlformats.org/officeDocument/2006/relationships/hyperlink" Target="https://www.tatasteel.com/media/23973/fy25-integratedreport.pdf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sustainability.ussteel.com/documents/d/sustainability/uss_2024-sustainability-report" TargetMode="External"/><Relationship Id="rId15" Type="http://schemas.openxmlformats.org/officeDocument/2006/relationships/hyperlink" Target="https://d1io3yog0oux5.cloudfront.net/_372d519d45d4296805520e0873025638/clevelandcliffs/files/pages/clevelandcliffs/db/1149/description/2026+Documents/CLF_SustainabilityReport_2025.pdf" TargetMode="External"/><Relationship Id="rId23" Type="http://schemas.openxmlformats.org/officeDocument/2006/relationships/hyperlink" Target="file:///C:\Users\810126\Downloads\tata-steel-uk-sustainability-report-2023-2025.pdf" TargetMode="External"/><Relationship Id="rId10" Type="http://schemas.openxmlformats.org/officeDocument/2006/relationships/hyperlink" Target="https://sail.co.in/sites/default/files/2025-08/Sail%20Annual%20Report_2025_%2825_08_2025%29.pdf" TargetMode="External"/><Relationship Id="rId19" Type="http://schemas.openxmlformats.org/officeDocument/2006/relationships/hyperlink" Target="file:///C:\Users\810126\Downloads\2026_HyundaiSteel_SustainabilityReport_ENG.pdf" TargetMode="External"/><Relationship Id="rId4" Type="http://schemas.openxmlformats.org/officeDocument/2006/relationships/hyperlink" Target="https://api.mziq.com/mzfilemanager/v2/d/21e1d193-5cab-456d-8bb8-f00a49a43c1c/9a131b11-de57-b47e-f708-8d708ae30688?origin=1" TargetMode="External"/><Relationship Id="rId9" Type="http://schemas.openxmlformats.org/officeDocument/2006/relationships/hyperlink" Target="https://www.jswsteel.in/jsw-steel-annual-report-2024-25/air-emissions.html" TargetMode="External"/><Relationship Id="rId14" Type="http://schemas.openxmlformats.org/officeDocument/2006/relationships/hyperlink" Target="https://www.hyundai-steel.com/common/filePreview/53435?sr_report=hyundaisteel_sr_en_2025.pdf" TargetMode="External"/><Relationship Id="rId22" Type="http://schemas.openxmlformats.org/officeDocument/2006/relationships/hyperlink" Target="https://jaarverslag.tatasteelnederland.com/external/asset/download/project/f93d6d0a-03ea-0000-5641-0cd910567c78/name/TSN_BV_Annual_Report_2025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hyperlink" Target="https://myportal.cdp.net/discloser/respons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hyperlink" Target="https://myportal.cdp.net/discloser/response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D313-2F28-416A-89A9-844915922FED}">
  <dimension ref="A2:N79"/>
  <sheetViews>
    <sheetView workbookViewId="0">
      <pane ySplit="2" topLeftCell="A3" activePane="bottomLeft" state="frozen"/>
      <selection pane="bottomLeft" activeCell="F10" sqref="F10"/>
    </sheetView>
  </sheetViews>
  <sheetFormatPr defaultRowHeight="14.5" x14ac:dyDescent="0.35"/>
  <cols>
    <col min="1" max="1" width="15.453125" customWidth="1"/>
    <col min="2" max="2" width="10.7265625" customWidth="1"/>
    <col min="3" max="3" width="19.1796875" customWidth="1"/>
    <col min="4" max="4" width="9.453125" customWidth="1"/>
    <col min="5" max="8" width="16.54296875" customWidth="1"/>
    <col min="9" max="9" width="17.54296875" customWidth="1"/>
    <col min="10" max="10" width="17" customWidth="1"/>
    <col min="11" max="11" width="17.26953125" customWidth="1"/>
    <col min="12" max="12" width="21.54296875" customWidth="1"/>
  </cols>
  <sheetData>
    <row r="2" spans="1:1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35">
      <c r="A3" s="2" t="s">
        <v>14</v>
      </c>
      <c r="B3" t="s">
        <v>15</v>
      </c>
      <c r="C3" t="str">
        <f>_xlfn.CONCAT(Global[[#This Row],[Country]], "-", Global[[#This Row],[Company]])</f>
        <v>India-TSL</v>
      </c>
      <c r="D3" t="s">
        <v>16</v>
      </c>
      <c r="E3" s="2">
        <v>22.49</v>
      </c>
      <c r="F3" s="2"/>
      <c r="G3" s="2"/>
      <c r="H3" s="2"/>
      <c r="I3" s="2">
        <v>0.33</v>
      </c>
      <c r="J3" s="2">
        <v>2.2999999999999998</v>
      </c>
      <c r="K3" s="2">
        <v>1</v>
      </c>
      <c r="M3" s="2"/>
      <c r="N3" s="2" t="s">
        <v>17</v>
      </c>
    </row>
    <row r="4" spans="1:14" x14ac:dyDescent="0.35">
      <c r="A4" s="2" t="s">
        <v>14</v>
      </c>
      <c r="B4" t="s">
        <v>15</v>
      </c>
      <c r="C4" t="str">
        <f>_xlfn.CONCAT(Global[[#This Row],[Country]], "-", Global[[#This Row],[Company]])</f>
        <v>India-TSL</v>
      </c>
      <c r="D4" t="s">
        <v>18</v>
      </c>
      <c r="E4" s="2">
        <v>20.725895999999999</v>
      </c>
      <c r="F4" s="2"/>
      <c r="G4" s="2"/>
      <c r="H4" s="2"/>
      <c r="I4" s="2">
        <v>0.31</v>
      </c>
      <c r="J4" s="2">
        <v>1.62</v>
      </c>
      <c r="K4" s="2">
        <v>0.86</v>
      </c>
      <c r="L4" s="5" t="s">
        <v>19</v>
      </c>
      <c r="M4" s="2"/>
      <c r="N4" s="2" t="s">
        <v>20</v>
      </c>
    </row>
    <row r="5" spans="1:14" x14ac:dyDescent="0.35">
      <c r="A5" s="2" t="s">
        <v>14</v>
      </c>
      <c r="B5" t="s">
        <v>15</v>
      </c>
      <c r="C5" t="str">
        <f>_xlfn.CONCAT(Global[[#This Row],[Country]], "-", Global[[#This Row],[Company]])</f>
        <v>India-TSL</v>
      </c>
      <c r="D5" t="s">
        <v>21</v>
      </c>
      <c r="E5" s="2">
        <v>20.121497000000002</v>
      </c>
      <c r="F5" s="2"/>
      <c r="G5" s="2"/>
      <c r="H5" s="2"/>
      <c r="I5" s="2">
        <v>0.35</v>
      </c>
      <c r="J5" s="2">
        <v>1.63</v>
      </c>
      <c r="K5" s="2">
        <v>0.87</v>
      </c>
      <c r="M5" s="2"/>
      <c r="N5" s="2" t="s">
        <v>22</v>
      </c>
    </row>
    <row r="6" spans="1:14" x14ac:dyDescent="0.35">
      <c r="A6" s="2" t="s">
        <v>14</v>
      </c>
      <c r="B6" t="s">
        <v>15</v>
      </c>
      <c r="C6" t="str">
        <f>_xlfn.CONCAT(Global[[#This Row],[Country]], "-", Global[[#This Row],[Company]])</f>
        <v>India-TSL</v>
      </c>
      <c r="D6" t="s">
        <v>23</v>
      </c>
      <c r="E6" s="2">
        <v>19.673827675000002</v>
      </c>
      <c r="F6" s="2"/>
      <c r="G6" s="2"/>
      <c r="H6" s="2"/>
      <c r="I6" s="2">
        <v>0.34</v>
      </c>
      <c r="J6" s="2">
        <v>1.43</v>
      </c>
      <c r="K6" s="2">
        <v>0.83</v>
      </c>
      <c r="M6" s="2"/>
      <c r="N6" s="2" t="s">
        <v>24</v>
      </c>
    </row>
    <row r="7" spans="1:14" x14ac:dyDescent="0.35">
      <c r="A7" s="2" t="s">
        <v>14</v>
      </c>
      <c r="B7" t="s">
        <v>25</v>
      </c>
      <c r="C7" t="str">
        <f>_xlfn.CONCAT(Global[[#This Row],[Country]], "-", Global[[#This Row],[Company]])</f>
        <v>India-SAIL</v>
      </c>
      <c r="D7" t="s">
        <v>16</v>
      </c>
      <c r="E7" s="2"/>
      <c r="F7" s="2"/>
      <c r="G7" s="2"/>
      <c r="H7" s="2"/>
      <c r="I7" s="2"/>
      <c r="J7" s="2"/>
      <c r="K7" s="2"/>
      <c r="M7" s="2"/>
      <c r="N7" s="2" t="s">
        <v>26</v>
      </c>
    </row>
    <row r="8" spans="1:14" x14ac:dyDescent="0.35">
      <c r="A8" s="2" t="s">
        <v>14</v>
      </c>
      <c r="B8" t="s">
        <v>25</v>
      </c>
      <c r="C8" t="str">
        <f>_xlfn.CONCAT(Global[[#This Row],[Country]], "-", Global[[#This Row],[Company]])</f>
        <v>India-SAIL</v>
      </c>
      <c r="D8" t="s">
        <v>18</v>
      </c>
      <c r="E8">
        <v>19.170000000000002</v>
      </c>
      <c r="I8" s="2">
        <v>0.56000000000000005</v>
      </c>
      <c r="J8" s="2">
        <v>0.95</v>
      </c>
      <c r="K8" s="2">
        <v>0.8</v>
      </c>
      <c r="L8" s="38" t="s">
        <v>27</v>
      </c>
      <c r="M8" s="2"/>
      <c r="N8" s="2" t="s">
        <v>28</v>
      </c>
    </row>
    <row r="9" spans="1:14" x14ac:dyDescent="0.35">
      <c r="A9" s="2" t="s">
        <v>14</v>
      </c>
      <c r="B9" t="s">
        <v>25</v>
      </c>
      <c r="C9" t="str">
        <f>_xlfn.CONCAT(Global[[#This Row],[Country]], "-", Global[[#This Row],[Company]])</f>
        <v>India-SAIL</v>
      </c>
      <c r="D9" t="s">
        <v>21</v>
      </c>
      <c r="I9" s="8">
        <v>0.57999999999999996</v>
      </c>
      <c r="J9" s="2">
        <v>1.1000000000000001</v>
      </c>
      <c r="K9" s="2">
        <v>0.76</v>
      </c>
      <c r="M9" s="2"/>
      <c r="N9" s="2" t="s">
        <v>29</v>
      </c>
    </row>
    <row r="10" spans="1:14" x14ac:dyDescent="0.35">
      <c r="A10" s="2" t="s">
        <v>14</v>
      </c>
      <c r="B10" t="s">
        <v>25</v>
      </c>
      <c r="C10" t="str">
        <f>_xlfn.CONCAT(Global[[#This Row],[Country]], "-", Global[[#This Row],[Company]])</f>
        <v>India-SAIL</v>
      </c>
      <c r="D10" t="s">
        <v>23</v>
      </c>
      <c r="I10" s="2">
        <v>0.56999999999999995</v>
      </c>
      <c r="J10" s="2"/>
      <c r="K10" s="2"/>
      <c r="M10" s="2"/>
      <c r="N10" s="2" t="s">
        <v>30</v>
      </c>
    </row>
    <row r="11" spans="1:14" x14ac:dyDescent="0.35">
      <c r="A11" s="2" t="s">
        <v>14</v>
      </c>
      <c r="B11" t="s">
        <v>31</v>
      </c>
      <c r="C11" t="str">
        <f>_xlfn.CONCAT(Global[[#This Row],[Country]], "-", Global[[#This Row],[Company]])</f>
        <v>India-JSPL</v>
      </c>
      <c r="D11" t="s">
        <v>16</v>
      </c>
      <c r="I11" s="2"/>
      <c r="J11" s="2"/>
      <c r="K11" s="2"/>
      <c r="M11" s="2"/>
      <c r="N11" s="2" t="s">
        <v>32</v>
      </c>
    </row>
    <row r="12" spans="1:14" x14ac:dyDescent="0.35">
      <c r="A12" s="2" t="s">
        <v>14</v>
      </c>
      <c r="B12" t="s">
        <v>31</v>
      </c>
      <c r="C12" t="str">
        <f>_xlfn.CONCAT(Global[[#This Row],[Country]], "-", Global[[#This Row],[Company]])</f>
        <v>India-JSPL</v>
      </c>
      <c r="D12" t="s">
        <v>18</v>
      </c>
      <c r="E12">
        <v>8.1199999999999992</v>
      </c>
      <c r="I12" s="2">
        <v>0.59</v>
      </c>
      <c r="J12" s="2">
        <v>3.88</v>
      </c>
      <c r="K12" s="2">
        <v>1.79</v>
      </c>
      <c r="M12" s="2"/>
      <c r="N12" s="2" t="s">
        <v>33</v>
      </c>
    </row>
    <row r="13" spans="1:14" x14ac:dyDescent="0.35">
      <c r="A13" s="2" t="s">
        <v>14</v>
      </c>
      <c r="B13" t="s">
        <v>31</v>
      </c>
      <c r="C13" t="str">
        <f>_xlfn.CONCAT(Global[[#This Row],[Country]], "-", Global[[#This Row],[Company]])</f>
        <v>India-JSPL</v>
      </c>
      <c r="D13" t="s">
        <v>21</v>
      </c>
      <c r="I13" s="8">
        <v>0.6</v>
      </c>
      <c r="J13" s="2">
        <v>3.7</v>
      </c>
      <c r="K13" s="2">
        <v>1.95</v>
      </c>
      <c r="M13" s="2"/>
      <c r="N13" s="2" t="s">
        <v>34</v>
      </c>
    </row>
    <row r="14" spans="1:14" x14ac:dyDescent="0.35">
      <c r="A14" s="2" t="s">
        <v>14</v>
      </c>
      <c r="B14" t="s">
        <v>31</v>
      </c>
      <c r="C14" t="str">
        <f>_xlfn.CONCAT(Global[[#This Row],[Country]], "-", Global[[#This Row],[Company]])</f>
        <v>India-JSPL</v>
      </c>
      <c r="D14" t="s">
        <v>23</v>
      </c>
      <c r="I14" s="2"/>
      <c r="J14" s="2">
        <v>3.64</v>
      </c>
      <c r="K14" s="2">
        <v>1.9</v>
      </c>
      <c r="M14" s="2"/>
      <c r="N14" s="2" t="s">
        <v>35</v>
      </c>
    </row>
    <row r="15" spans="1:14" x14ac:dyDescent="0.35">
      <c r="A15" s="2" t="s">
        <v>14</v>
      </c>
      <c r="B15" t="s">
        <v>36</v>
      </c>
      <c r="C15" t="str">
        <f>_xlfn.CONCAT(Global[[#This Row],[Country]], "-", Global[[#This Row],[Company]])</f>
        <v>India-JSW</v>
      </c>
      <c r="D15" t="s">
        <v>16</v>
      </c>
      <c r="E15">
        <v>22.4</v>
      </c>
      <c r="I15" s="2">
        <v>0.33</v>
      </c>
      <c r="J15" s="2">
        <v>1.34</v>
      </c>
      <c r="K15" s="2">
        <v>1.03</v>
      </c>
      <c r="L15" s="3" t="s">
        <v>37</v>
      </c>
      <c r="M15" t="s">
        <v>38</v>
      </c>
      <c r="N15" s="2" t="s">
        <v>39</v>
      </c>
    </row>
    <row r="16" spans="1:14" x14ac:dyDescent="0.35">
      <c r="A16" s="2" t="s">
        <v>14</v>
      </c>
      <c r="B16" t="s">
        <v>36</v>
      </c>
      <c r="C16" t="str">
        <f>_xlfn.CONCAT(Global[[#This Row],[Country]], "-", Global[[#This Row],[Company]])</f>
        <v>India-JSW</v>
      </c>
      <c r="D16" t="s">
        <v>18</v>
      </c>
      <c r="E16">
        <v>21.74</v>
      </c>
      <c r="I16" s="2">
        <v>0.36</v>
      </c>
      <c r="J16" s="2">
        <v>1.51</v>
      </c>
      <c r="K16" s="2">
        <v>1.0900000000000001</v>
      </c>
      <c r="L16" s="3" t="s">
        <v>40</v>
      </c>
      <c r="M16" s="2"/>
      <c r="N16" s="2" t="s">
        <v>41</v>
      </c>
    </row>
    <row r="17" spans="1:14" x14ac:dyDescent="0.35">
      <c r="A17" s="2" t="s">
        <v>14</v>
      </c>
      <c r="B17" t="s">
        <v>36</v>
      </c>
      <c r="C17" t="str">
        <f>_xlfn.CONCAT(Global[[#This Row],[Country]], "-", Global[[#This Row],[Company]])</f>
        <v>India-JSW</v>
      </c>
      <c r="D17" t="s">
        <v>21</v>
      </c>
      <c r="E17">
        <v>21.22</v>
      </c>
      <c r="I17" s="2">
        <v>0.38</v>
      </c>
      <c r="J17" s="2">
        <v>1.66</v>
      </c>
      <c r="K17" s="2">
        <v>1.19</v>
      </c>
      <c r="M17" s="2"/>
      <c r="N17" s="2" t="s">
        <v>42</v>
      </c>
    </row>
    <row r="18" spans="1:14" x14ac:dyDescent="0.35">
      <c r="A18" s="2" t="s">
        <v>14</v>
      </c>
      <c r="B18" t="s">
        <v>36</v>
      </c>
      <c r="C18" t="str">
        <f>_xlfn.CONCAT(Global[[#This Row],[Country]], "-", Global[[#This Row],[Company]])</f>
        <v>India-JSW</v>
      </c>
      <c r="D18" t="s">
        <v>23</v>
      </c>
      <c r="E18">
        <v>19.670000000000002</v>
      </c>
      <c r="I18" s="2">
        <v>0.42</v>
      </c>
      <c r="J18" s="2">
        <v>1.69</v>
      </c>
      <c r="K18" s="2">
        <v>1.19</v>
      </c>
      <c r="M18" s="2"/>
      <c r="N18" s="2" t="s">
        <v>43</v>
      </c>
    </row>
    <row r="19" spans="1:14" x14ac:dyDescent="0.35">
      <c r="A19" s="2" t="s">
        <v>14</v>
      </c>
      <c r="B19" t="s">
        <v>44</v>
      </c>
      <c r="C19" t="str">
        <f>_xlfn.CONCAT(Global[[#This Row],[Country]], "-", Global[[#This Row],[Company]])</f>
        <v>India-JSL</v>
      </c>
      <c r="D19" t="s">
        <v>16</v>
      </c>
      <c r="I19" s="2"/>
      <c r="J19" s="2"/>
      <c r="K19" s="2"/>
      <c r="M19" s="2"/>
      <c r="N19" s="2" t="s">
        <v>45</v>
      </c>
    </row>
    <row r="20" spans="1:14" x14ac:dyDescent="0.35">
      <c r="A20" s="2" t="s">
        <v>14</v>
      </c>
      <c r="B20" t="s">
        <v>44</v>
      </c>
      <c r="C20" t="str">
        <f>_xlfn.CONCAT(Global[[#This Row],[Country]], "-", Global[[#This Row],[Company]])</f>
        <v>India-JSL</v>
      </c>
      <c r="D20" t="s">
        <v>18</v>
      </c>
      <c r="E20">
        <v>2.2999999999999998</v>
      </c>
      <c r="I20" s="2">
        <v>0.67487147071217868</v>
      </c>
      <c r="J20" s="2">
        <v>1.9303371260008426</v>
      </c>
      <c r="K20" s="2">
        <v>1.0650990307627477</v>
      </c>
      <c r="L20" s="5" t="s">
        <v>46</v>
      </c>
      <c r="M20" s="2"/>
      <c r="N20" s="2" t="s">
        <v>47</v>
      </c>
    </row>
    <row r="21" spans="1:14" x14ac:dyDescent="0.35">
      <c r="A21" s="2" t="s">
        <v>14</v>
      </c>
      <c r="B21" t="s">
        <v>44</v>
      </c>
      <c r="C21" t="str">
        <f>_xlfn.CONCAT(Global[[#This Row],[Country]], "-", Global[[#This Row],[Company]])</f>
        <v>India-JSL</v>
      </c>
      <c r="D21" t="s">
        <v>21</v>
      </c>
      <c r="I21" s="2">
        <v>0.60380275862068966</v>
      </c>
      <c r="J21" s="2">
        <v>1.4124432183908047</v>
      </c>
      <c r="K21" s="2">
        <v>0.81957701149425299</v>
      </c>
      <c r="M21" s="2"/>
      <c r="N21" s="2" t="s">
        <v>48</v>
      </c>
    </row>
    <row r="22" spans="1:14" x14ac:dyDescent="0.35">
      <c r="A22" s="2" t="s">
        <v>14</v>
      </c>
      <c r="B22" t="s">
        <v>44</v>
      </c>
      <c r="C22" t="str">
        <f>_xlfn.CONCAT(Global[[#This Row],[Country]], "-", Global[[#This Row],[Company]])</f>
        <v>India-JSL</v>
      </c>
      <c r="D22" t="s">
        <v>23</v>
      </c>
      <c r="I22" s="2"/>
      <c r="J22" s="2"/>
      <c r="K22" s="2"/>
      <c r="M22" s="2"/>
      <c r="N22" s="2" t="s">
        <v>49</v>
      </c>
    </row>
    <row r="23" spans="1:14" x14ac:dyDescent="0.35">
      <c r="A23" s="37" t="s">
        <v>50</v>
      </c>
      <c r="B23" t="s">
        <v>51</v>
      </c>
      <c r="C23" t="str">
        <f>_xlfn.CONCAT(Global[[#This Row],[Country]], "-", Global[[#This Row],[Company]])</f>
        <v>South Korea-POSCO</v>
      </c>
      <c r="D23" t="s">
        <v>52</v>
      </c>
      <c r="E23">
        <v>37.36</v>
      </c>
      <c r="F23">
        <v>3019</v>
      </c>
      <c r="G23">
        <v>25090</v>
      </c>
      <c r="H23">
        <v>25798</v>
      </c>
      <c r="I23" s="2">
        <f>Global[[#This Row],[Dust load (tonnes)]]/Global[[#This Row],[CS Production (MTPA)]]*0.001</f>
        <v>8.0808351177730192E-2</v>
      </c>
      <c r="J23" s="2">
        <f>Global[[#This Row],[SO2 load (tonnes)]]/Global[[#This Row],[CS Production (MTPA)]]*0.001</f>
        <v>0.67157387580299788</v>
      </c>
      <c r="K23" s="2">
        <f>Global[[#This Row],[NOx load (tonnes)]]/Global[[#This Row],[CS Production (MTPA)]]*0.001</f>
        <v>0.690524625267666</v>
      </c>
      <c r="L23" s="38" t="s">
        <v>53</v>
      </c>
      <c r="M23" s="2" t="s">
        <v>54</v>
      </c>
      <c r="N23" s="2" t="s">
        <v>55</v>
      </c>
    </row>
    <row r="24" spans="1:14" x14ac:dyDescent="0.35">
      <c r="A24" s="37" t="s">
        <v>50</v>
      </c>
      <c r="B24" t="s">
        <v>51</v>
      </c>
      <c r="C24" t="str">
        <f>_xlfn.CONCAT(Global[[#This Row],[Country]], "-", Global[[#This Row],[Company]])</f>
        <v>South Korea-POSCO</v>
      </c>
      <c r="D24" t="s">
        <v>56</v>
      </c>
      <c r="E24">
        <v>35.048000000000002</v>
      </c>
      <c r="I24" s="2">
        <v>8.7451495092444653E-2</v>
      </c>
      <c r="J24" s="2">
        <v>0.63815338963706913</v>
      </c>
      <c r="K24" s="7">
        <v>0.78900365213421597</v>
      </c>
      <c r="L24" s="5" t="s">
        <v>57</v>
      </c>
      <c r="M24" s="2"/>
      <c r="N24" s="2" t="s">
        <v>58</v>
      </c>
    </row>
    <row r="25" spans="1:14" x14ac:dyDescent="0.35">
      <c r="A25" s="37" t="s">
        <v>50</v>
      </c>
      <c r="B25" t="s">
        <v>51</v>
      </c>
      <c r="C25" t="str">
        <f>_xlfn.CONCAT(Global[[#This Row],[Country]], "-", Global[[#This Row],[Company]])</f>
        <v>South Korea-POSCO</v>
      </c>
      <c r="D25" t="s">
        <v>59</v>
      </c>
      <c r="E25">
        <v>35.682000000000002</v>
      </c>
      <c r="I25" s="2">
        <v>9.5650468023092877E-2</v>
      </c>
      <c r="J25" s="2">
        <v>0.67106664424639872</v>
      </c>
      <c r="K25" s="2">
        <v>0.77588139678269152</v>
      </c>
      <c r="M25" s="2"/>
      <c r="N25" s="2" t="s">
        <v>60</v>
      </c>
    </row>
    <row r="26" spans="1:14" x14ac:dyDescent="0.35">
      <c r="A26" s="37" t="s">
        <v>50</v>
      </c>
      <c r="B26" t="s">
        <v>51</v>
      </c>
      <c r="C26" t="str">
        <f>_xlfn.CONCAT(Global[[#This Row],[Country]], "-", Global[[#This Row],[Company]])</f>
        <v>South Korea-POSCO</v>
      </c>
      <c r="D26" t="s">
        <v>61</v>
      </c>
      <c r="E26">
        <v>34.219000000000001</v>
      </c>
      <c r="I26" s="2">
        <v>7.3175721090622176E-2</v>
      </c>
      <c r="J26" s="2">
        <v>0.68073292615213765</v>
      </c>
      <c r="K26" s="2">
        <v>0.69870539758613637</v>
      </c>
      <c r="M26" s="2"/>
      <c r="N26" s="2" t="s">
        <v>62</v>
      </c>
    </row>
    <row r="27" spans="1:14" x14ac:dyDescent="0.35">
      <c r="A27" t="s">
        <v>63</v>
      </c>
      <c r="B27" t="s">
        <v>64</v>
      </c>
      <c r="C27" t="str">
        <f>_xlfn.CONCAT(Global[[#This Row],[Country]], "-", Global[[#This Row],[Company]])</f>
        <v>Austria-Voestalpine</v>
      </c>
      <c r="D27" t="s">
        <v>52</v>
      </c>
      <c r="E27">
        <v>7.55</v>
      </c>
      <c r="F27" s="9">
        <v>367</v>
      </c>
      <c r="G27" s="9">
        <v>5264</v>
      </c>
      <c r="H27" s="9">
        <v>3581</v>
      </c>
      <c r="I27" s="2">
        <f>Global[[#This Row],[Dust load (tonnes)]]/Global[[#This Row],[CS Production (MTPA)]]*0.001</f>
        <v>4.8609271523178815E-2</v>
      </c>
      <c r="J27" s="2">
        <f>Global[[#This Row],[SO2 load (tonnes)]]/Global[[#This Row],[CS Production (MTPA)]]*0.001</f>
        <v>0.69721854304635755</v>
      </c>
      <c r="K27" s="2">
        <f>Global[[#This Row],[NOx load (tonnes)]]/Global[[#This Row],[CS Production (MTPA)]]*0.001</f>
        <v>0.47430463576158943</v>
      </c>
      <c r="L27" s="3" t="s">
        <v>65</v>
      </c>
      <c r="M27" s="2" t="s">
        <v>66</v>
      </c>
      <c r="N27" s="2" t="s">
        <v>67</v>
      </c>
    </row>
    <row r="28" spans="1:14" x14ac:dyDescent="0.35">
      <c r="A28" t="s">
        <v>63</v>
      </c>
      <c r="B28" t="s">
        <v>64</v>
      </c>
      <c r="C28" t="str">
        <f>_xlfn.CONCAT(Global[[#This Row],[Country]], "-", Global[[#This Row],[Company]])</f>
        <v>Austria-Voestalpine</v>
      </c>
      <c r="D28" t="s">
        <v>56</v>
      </c>
      <c r="E28">
        <v>7.2</v>
      </c>
      <c r="F28">
        <v>342</v>
      </c>
      <c r="G28" s="9">
        <v>5011</v>
      </c>
      <c r="H28" s="9">
        <v>4340</v>
      </c>
      <c r="I28" s="2">
        <f>Global[[#This Row],[Dust load (tonnes)]]/Global[[#This Row],[CS Production (MTPA)]]*0.001</f>
        <v>4.7500000000000001E-2</v>
      </c>
      <c r="J28" s="2">
        <f>Global[[#This Row],[SO2 load (tonnes)]]/Global[[#This Row],[CS Production (MTPA)]]*0.001</f>
        <v>0.69597222222222221</v>
      </c>
      <c r="K28" s="2">
        <f>Global[[#This Row],[NOx load (tonnes)]]/Global[[#This Row],[CS Production (MTPA)]]*0.001</f>
        <v>0.60277777777777775</v>
      </c>
      <c r="M28" s="2"/>
      <c r="N28" s="2" t="s">
        <v>68</v>
      </c>
    </row>
    <row r="29" spans="1:14" x14ac:dyDescent="0.35">
      <c r="A29" t="s">
        <v>63</v>
      </c>
      <c r="B29" t="s">
        <v>64</v>
      </c>
      <c r="C29" t="str">
        <f>_xlfn.CONCAT(Global[[#This Row],[Country]], "-", Global[[#This Row],[Company]])</f>
        <v>Austria-Voestalpine</v>
      </c>
      <c r="D29" t="s">
        <v>59</v>
      </c>
      <c r="E29">
        <v>7.1</v>
      </c>
      <c r="I29" s="2">
        <f>35/1000</f>
        <v>3.5000000000000003E-2</v>
      </c>
      <c r="J29" s="2">
        <v>0.62</v>
      </c>
      <c r="K29" s="2">
        <v>0.64</v>
      </c>
      <c r="L29" s="5" t="s">
        <v>69</v>
      </c>
      <c r="M29" s="2"/>
      <c r="N29" s="2" t="s">
        <v>70</v>
      </c>
    </row>
    <row r="30" spans="1:14" x14ac:dyDescent="0.35">
      <c r="A30" t="s">
        <v>63</v>
      </c>
      <c r="B30" t="s">
        <v>64</v>
      </c>
      <c r="C30" t="str">
        <f>_xlfn.CONCAT(Global[[#This Row],[Country]], "-", Global[[#This Row],[Company]])</f>
        <v>Austria-Voestalpine</v>
      </c>
      <c r="D30" t="s">
        <v>61</v>
      </c>
      <c r="I30" s="2">
        <f>33/1000</f>
        <v>3.3000000000000002E-2</v>
      </c>
      <c r="J30" s="2">
        <v>0.54</v>
      </c>
      <c r="K30" s="2">
        <v>0.63</v>
      </c>
      <c r="M30" s="2"/>
      <c r="N30" s="2" t="s">
        <v>71</v>
      </c>
    </row>
    <row r="31" spans="1:14" x14ac:dyDescent="0.35">
      <c r="A31" s="2" t="s">
        <v>72</v>
      </c>
      <c r="B31" t="s">
        <v>73</v>
      </c>
      <c r="C31" t="str">
        <f>_xlfn.CONCAT(Global[[#This Row],[Country]], "-", Global[[#This Row],[Company]])</f>
        <v>Sweden-SSAB</v>
      </c>
      <c r="D31" t="s">
        <v>52</v>
      </c>
      <c r="E31">
        <v>7.53</v>
      </c>
      <c r="F31">
        <v>630</v>
      </c>
      <c r="G31">
        <v>3359</v>
      </c>
      <c r="H31">
        <v>3503</v>
      </c>
      <c r="I31" s="2">
        <f>Global[[#This Row],[Dust load (tonnes)]]/Global[[#This Row],[CS Production (MTPA)]]*0.001</f>
        <v>8.3665338645418336E-2</v>
      </c>
      <c r="J31" s="2">
        <f>Global[[#This Row],[SO2 load (tonnes)]]/Global[[#This Row],[CS Production (MTPA)]]*0.001</f>
        <v>0.44608233731739705</v>
      </c>
      <c r="K31" s="2">
        <f>Global[[#This Row],[NOx load (tonnes)]]/Global[[#This Row],[CS Production (MTPA)]]*0.001</f>
        <v>0.46520584329349274</v>
      </c>
      <c r="L31" s="3" t="s">
        <v>74</v>
      </c>
      <c r="M31" s="2"/>
      <c r="N31" s="2" t="s">
        <v>75</v>
      </c>
    </row>
    <row r="32" spans="1:14" x14ac:dyDescent="0.35">
      <c r="A32" s="2" t="s">
        <v>72</v>
      </c>
      <c r="B32" t="s">
        <v>73</v>
      </c>
      <c r="C32" t="str">
        <f>_xlfn.CONCAT(Global[[#This Row],[Country]], "-", Global[[#This Row],[Company]])</f>
        <v>Sweden-SSAB</v>
      </c>
      <c r="D32" t="s">
        <v>56</v>
      </c>
      <c r="E32">
        <v>7.3490000000000002</v>
      </c>
      <c r="F32">
        <v>628</v>
      </c>
      <c r="G32">
        <v>2695</v>
      </c>
      <c r="H32">
        <v>3643</v>
      </c>
      <c r="I32" s="2">
        <f>Global[[#This Row],[Dust load (tonnes)]]/Global[[#This Row],[CS Production (MTPA)]]*0.001</f>
        <v>8.5453803238535853E-2</v>
      </c>
      <c r="J32" s="2">
        <f>Global[[#This Row],[SO2 load (tonnes)]]/Global[[#This Row],[CS Production (MTPA)]]*0.001</f>
        <v>0.36671656007620085</v>
      </c>
      <c r="K32" s="2">
        <f>Global[[#This Row],[NOx load (tonnes)]]/Global[[#This Row],[CS Production (MTPA)]]*0.001</f>
        <v>0.49571370254456387</v>
      </c>
      <c r="M32" s="2"/>
      <c r="N32" s="2" t="s">
        <v>76</v>
      </c>
    </row>
    <row r="33" spans="1:14" x14ac:dyDescent="0.35">
      <c r="A33" s="2" t="s">
        <v>72</v>
      </c>
      <c r="B33" t="s">
        <v>73</v>
      </c>
      <c r="C33" t="str">
        <f>_xlfn.CONCAT(Global[[#This Row],[Country]], "-", Global[[#This Row],[Company]])</f>
        <v>Sweden-SSAB</v>
      </c>
      <c r="D33" t="s">
        <v>59</v>
      </c>
      <c r="E33">
        <v>7.7779999999999996</v>
      </c>
      <c r="F33">
        <v>576</v>
      </c>
      <c r="G33">
        <v>3578</v>
      </c>
      <c r="H33">
        <v>3426</v>
      </c>
      <c r="I33" s="2">
        <v>8.5453803238535853E-2</v>
      </c>
      <c r="J33" s="2">
        <v>0.36671656007620085</v>
      </c>
      <c r="K33" s="2">
        <v>0.49571370254456387</v>
      </c>
      <c r="L33" s="5" t="s">
        <v>77</v>
      </c>
      <c r="M33" s="2"/>
      <c r="N33" s="2" t="s">
        <v>78</v>
      </c>
    </row>
    <row r="34" spans="1:14" ht="15" thickBot="1" x14ac:dyDescent="0.4">
      <c r="A34" s="2" t="s">
        <v>72</v>
      </c>
      <c r="B34" t="s">
        <v>73</v>
      </c>
      <c r="C34" t="str">
        <f>_xlfn.CONCAT(Global[[#This Row],[Country]], "-", Global[[#This Row],[Company]])</f>
        <v>Sweden-SSAB</v>
      </c>
      <c r="D34" t="s">
        <v>61</v>
      </c>
      <c r="E34">
        <v>7.2930000000000001</v>
      </c>
      <c r="I34" s="2">
        <v>7.4055026999228599E-2</v>
      </c>
      <c r="J34" s="2">
        <v>0.46001542813062485</v>
      </c>
      <c r="K34" s="2">
        <v>0.44047312933916172</v>
      </c>
      <c r="M34" s="2"/>
      <c r="N34" s="2" t="s">
        <v>79</v>
      </c>
    </row>
    <row r="35" spans="1:14" ht="17" thickBot="1" x14ac:dyDescent="0.4">
      <c r="A35" s="10" t="s">
        <v>80</v>
      </c>
      <c r="B35" t="s">
        <v>81</v>
      </c>
      <c r="C35" t="str">
        <f>_xlfn.CONCAT(Global[[#This Row],[Country]], "-", Global[[#This Row],[Company]])</f>
        <v>United States-USS</v>
      </c>
      <c r="D35" t="s">
        <v>52</v>
      </c>
      <c r="I35" s="2"/>
      <c r="J35" s="2"/>
      <c r="K35" s="2"/>
      <c r="M35" s="2"/>
      <c r="N35" s="2" t="s">
        <v>82</v>
      </c>
    </row>
    <row r="36" spans="1:14" ht="17" thickBot="1" x14ac:dyDescent="0.4">
      <c r="A36" s="10" t="s">
        <v>80</v>
      </c>
      <c r="B36" t="s">
        <v>81</v>
      </c>
      <c r="C36" t="str">
        <f>_xlfn.CONCAT(Global[[#This Row],[Country]], "-", Global[[#This Row],[Company]])</f>
        <v>United States-USS</v>
      </c>
      <c r="D36" t="s">
        <v>56</v>
      </c>
      <c r="E36">
        <v>15.71</v>
      </c>
      <c r="F36">
        <v>7409</v>
      </c>
      <c r="G36">
        <v>9043</v>
      </c>
      <c r="H36">
        <v>25938</v>
      </c>
      <c r="I36" s="2">
        <f>Global[[#This Row],[Dust load (tonnes)]]/Global[[#This Row],[CS Production (MTPA)]]*0.001</f>
        <v>0.47161043921069384</v>
      </c>
      <c r="J36" s="2">
        <f>Global[[#This Row],[SO2 load (tonnes)]]/Global[[#This Row],[CS Production (MTPA)]]*0.001</f>
        <v>0.57562062380649259</v>
      </c>
      <c r="K36" s="2">
        <f>Global[[#This Row],[NOx load (tonnes)]]/Global[[#This Row],[CS Production (MTPA)]]*0.001</f>
        <v>1.6510502864417567</v>
      </c>
      <c r="L36" s="3" t="s">
        <v>83</v>
      </c>
      <c r="M36" s="2"/>
      <c r="N36" s="2" t="s">
        <v>84</v>
      </c>
    </row>
    <row r="37" spans="1:14" ht="17" thickBot="1" x14ac:dyDescent="0.4">
      <c r="A37" s="10" t="s">
        <v>80</v>
      </c>
      <c r="B37" t="s">
        <v>81</v>
      </c>
      <c r="C37" t="str">
        <f>_xlfn.CONCAT(Global[[#This Row],[Country]], "-", Global[[#This Row],[Company]])</f>
        <v>United States-USS</v>
      </c>
      <c r="D37" t="s">
        <v>59</v>
      </c>
      <c r="E37">
        <v>14.18</v>
      </c>
      <c r="F37">
        <v>7714</v>
      </c>
      <c r="G37">
        <v>10631</v>
      </c>
      <c r="H37">
        <v>26639</v>
      </c>
      <c r="I37" s="2">
        <f>Global[[#This Row],[Dust load (tonnes)]]/Global[[#This Row],[CS Production (MTPA)]]*0.001</f>
        <v>0.54400564174894217</v>
      </c>
      <c r="J37" s="2">
        <f>Global[[#This Row],[SO2 load (tonnes)]]/Global[[#This Row],[CS Production (MTPA)]]*0.001</f>
        <v>0.74971791255289144</v>
      </c>
      <c r="K37" s="2">
        <f>Global[[#This Row],[NOx load (tonnes)]]/Global[[#This Row],[CS Production (MTPA)]]*0.001</f>
        <v>1.8786318758815232</v>
      </c>
      <c r="L37" s="5" t="s">
        <v>83</v>
      </c>
      <c r="M37" s="2" t="s">
        <v>85</v>
      </c>
      <c r="N37" s="2" t="s">
        <v>86</v>
      </c>
    </row>
    <row r="38" spans="1:14" ht="17" thickBot="1" x14ac:dyDescent="0.4">
      <c r="A38" s="10" t="s">
        <v>80</v>
      </c>
      <c r="B38" t="s">
        <v>81</v>
      </c>
      <c r="C38" t="str">
        <f>_xlfn.CONCAT(Global[[#This Row],[Country]], "-", Global[[#This Row],[Company]])</f>
        <v>United States-USS</v>
      </c>
      <c r="D38" t="s">
        <v>61</v>
      </c>
      <c r="E38">
        <v>15.24</v>
      </c>
      <c r="F38">
        <v>8306</v>
      </c>
      <c r="G38">
        <v>10105</v>
      </c>
      <c r="H38">
        <v>25754</v>
      </c>
      <c r="I38" s="2">
        <f>Global[[#This Row],[Dust load (tonnes)]]/Global[[#This Row],[CS Production (MTPA)]]*0.001</f>
        <v>0.54501312335958008</v>
      </c>
      <c r="J38" s="2">
        <f>Global[[#This Row],[SO2 load (tonnes)]]/Global[[#This Row],[CS Production (MTPA)]]*0.001</f>
        <v>0.66305774278215224</v>
      </c>
      <c r="K38" s="2">
        <f>Global[[#This Row],[NOx load (tonnes)]]/Global[[#This Row],[CS Production (MTPA)]]*0.001</f>
        <v>1.6898950131233597</v>
      </c>
      <c r="M38" s="2"/>
      <c r="N38" s="2" t="s">
        <v>87</v>
      </c>
    </row>
    <row r="39" spans="1:14" x14ac:dyDescent="0.35">
      <c r="A39" s="37" t="s">
        <v>88</v>
      </c>
      <c r="B39" t="s">
        <v>89</v>
      </c>
      <c r="C39" t="str">
        <f>_xlfn.CONCAT(Global[[#This Row],[Country]], "-", Global[[#This Row],[Company]])</f>
        <v>Brazil-Gerdau</v>
      </c>
      <c r="D39" t="s">
        <v>52</v>
      </c>
      <c r="E39" s="9">
        <v>12.127000000000001</v>
      </c>
      <c r="F39" s="21">
        <v>2385.89</v>
      </c>
      <c r="G39" s="21">
        <v>10933.85</v>
      </c>
      <c r="H39" s="21">
        <v>4342.9799999999996</v>
      </c>
      <c r="I39" s="2">
        <f>Global[[#This Row],[Dust load (tonnes)]]/Global[[#This Row],[CS Production (MTPA)]]*0.001</f>
        <v>0.19674198070421373</v>
      </c>
      <c r="J39" s="2">
        <f>Global[[#This Row],[SO2 load (tonnes)]]/Global[[#This Row],[CS Production (MTPA)]]*0.001</f>
        <v>0.90161210521975754</v>
      </c>
      <c r="K39" s="2">
        <f>Global[[#This Row],[NOx load (tonnes)]]/Global[[#This Row],[CS Production (MTPA)]]*0.001</f>
        <v>0.35812484538632799</v>
      </c>
      <c r="M39" s="2"/>
      <c r="N39" s="2" t="s">
        <v>90</v>
      </c>
    </row>
    <row r="40" spans="1:14" x14ac:dyDescent="0.35">
      <c r="A40" s="37" t="s">
        <v>88</v>
      </c>
      <c r="B40" t="s">
        <v>89</v>
      </c>
      <c r="C40" t="str">
        <f>_xlfn.CONCAT(Global[[#This Row],[Country]], "-", Global[[#This Row],[Company]])</f>
        <v>Brazil-Gerdau</v>
      </c>
      <c r="D40" t="s">
        <v>56</v>
      </c>
      <c r="E40" s="9">
        <v>10.991237999999999</v>
      </c>
      <c r="F40" s="21">
        <v>2637.05</v>
      </c>
      <c r="G40" s="21">
        <v>9088.5300000000007</v>
      </c>
      <c r="H40" s="21">
        <v>5048.54</v>
      </c>
      <c r="I40" s="2">
        <f>Global[[#This Row],[Dust load (tonnes)]]/Global[[#This Row],[CS Production (MTPA)]]*0.001</f>
        <v>0.23992292769931833</v>
      </c>
      <c r="J40" s="2">
        <f>Global[[#This Row],[SO2 load (tonnes)]]/Global[[#This Row],[CS Production (MTPA)]]*0.001</f>
        <v>0.82688865439907699</v>
      </c>
      <c r="K40" s="2">
        <f>Global[[#This Row],[NOx load (tonnes)]]/Global[[#This Row],[CS Production (MTPA)]]*0.001</f>
        <v>0.45932405430580253</v>
      </c>
      <c r="M40" s="2"/>
      <c r="N40" s="2" t="s">
        <v>91</v>
      </c>
    </row>
    <row r="41" spans="1:14" x14ac:dyDescent="0.35">
      <c r="A41" s="37" t="s">
        <v>88</v>
      </c>
      <c r="B41" t="s">
        <v>89</v>
      </c>
      <c r="C41" t="str">
        <f>_xlfn.CONCAT(Global[[#This Row],[Country]], "-", Global[[#This Row],[Company]])</f>
        <v>Brazil-Gerdau</v>
      </c>
      <c r="D41" t="s">
        <v>59</v>
      </c>
      <c r="E41" s="9">
        <v>11.557</v>
      </c>
      <c r="F41" s="21">
        <v>3203.9</v>
      </c>
      <c r="G41" s="21">
        <v>14322.21</v>
      </c>
      <c r="H41" s="21">
        <v>5839.81</v>
      </c>
      <c r="I41" s="2">
        <v>0.24008102694828842</v>
      </c>
      <c r="J41" s="2">
        <v>0.82743353969410061</v>
      </c>
      <c r="K41" s="2">
        <v>0.45962672978878366</v>
      </c>
      <c r="L41" s="30" t="s">
        <v>92</v>
      </c>
      <c r="M41" s="2"/>
      <c r="N41" s="2" t="s">
        <v>93</v>
      </c>
    </row>
    <row r="42" spans="1:14" ht="15" thickBot="1" x14ac:dyDescent="0.4">
      <c r="A42" s="37" t="s">
        <v>88</v>
      </c>
      <c r="B42" t="s">
        <v>89</v>
      </c>
      <c r="C42" t="str">
        <f>_xlfn.CONCAT(Global[[#This Row],[Country]], "-", Global[[#This Row],[Company]])</f>
        <v>Brazil-Gerdau</v>
      </c>
      <c r="D42" t="s">
        <v>61</v>
      </c>
      <c r="I42" s="2">
        <v>0.28295504724896231</v>
      </c>
      <c r="J42" s="2">
        <v>1.2648776825929524</v>
      </c>
      <c r="K42" s="2">
        <v>0.51574759339397691</v>
      </c>
      <c r="M42" s="2"/>
      <c r="N42" s="2" t="s">
        <v>94</v>
      </c>
    </row>
    <row r="43" spans="1:14" ht="17" thickBot="1" x14ac:dyDescent="0.4">
      <c r="A43" s="10" t="s">
        <v>80</v>
      </c>
      <c r="B43" t="s">
        <v>95</v>
      </c>
      <c r="C43" t="str">
        <f>_xlfn.CONCAT(Global[[#This Row],[Country]], "-", Global[[#This Row],[Company]])</f>
        <v>United States-Cleveland Cliff</v>
      </c>
      <c r="D43" t="s">
        <v>52</v>
      </c>
      <c r="E43">
        <v>17.861080485115764</v>
      </c>
      <c r="F43">
        <v>20491.730981256889</v>
      </c>
      <c r="G43">
        <v>19874.310915104739</v>
      </c>
      <c r="H43">
        <v>38905.181918412345</v>
      </c>
      <c r="I43" s="2">
        <f>Global[[#This Row],[Dust load (tonnes)]]/Global[[#This Row],[CS Production (MTPA)]]*0.001</f>
        <v>1.1472839506172841</v>
      </c>
      <c r="J43" s="2">
        <f>Global[[#This Row],[SO2 load (tonnes)]]/Global[[#This Row],[CS Production (MTPA)]]*0.001</f>
        <v>1.1127160493827162</v>
      </c>
      <c r="K43" s="2">
        <f>Global[[#This Row],[NOx load (tonnes)]]/Global[[#This Row],[CS Production (MTPA)]]*0.001</f>
        <v>2.1782098765432103</v>
      </c>
      <c r="L43" s="38" t="s">
        <v>96</v>
      </c>
      <c r="M43" s="2"/>
      <c r="N43" s="2" t="s">
        <v>97</v>
      </c>
    </row>
    <row r="44" spans="1:14" ht="17" thickBot="1" x14ac:dyDescent="0.4">
      <c r="A44" s="10" t="s">
        <v>80</v>
      </c>
      <c r="B44" t="s">
        <v>95</v>
      </c>
      <c r="C44" t="str">
        <f>_xlfn.CONCAT(Global[[#This Row],[Country]], "-", Global[[#This Row],[Company]])</f>
        <v>United States-Cleveland Cliff</v>
      </c>
      <c r="D44" t="s">
        <v>56</v>
      </c>
      <c r="E44">
        <v>17.199558985667032</v>
      </c>
      <c r="F44">
        <v>17088.202866593165</v>
      </c>
      <c r="G44">
        <v>20294.377067254685</v>
      </c>
      <c r="H44">
        <v>43614.112458654905</v>
      </c>
      <c r="I44" s="2">
        <f>Global[[#This Row],[Dust load (tonnes)]]/Global[[#This Row],[CS Production (MTPA)]]*0.001</f>
        <v>0.99352564102564123</v>
      </c>
      <c r="J44" s="2">
        <f>Global[[#This Row],[SO2 load (tonnes)]]/Global[[#This Row],[CS Production (MTPA)]]*0.001</f>
        <v>1.1799358974358976</v>
      </c>
      <c r="K44" s="2">
        <f>Global[[#This Row],[NOx load (tonnes)]]/Global[[#This Row],[CS Production (MTPA)]]*0.001</f>
        <v>2.535769230769231</v>
      </c>
      <c r="M44" s="2"/>
      <c r="N44" s="2" t="s">
        <v>98</v>
      </c>
    </row>
    <row r="45" spans="1:14" ht="17" thickBot="1" x14ac:dyDescent="0.4">
      <c r="A45" s="10" t="s">
        <v>80</v>
      </c>
      <c r="B45" t="s">
        <v>95</v>
      </c>
      <c r="C45" t="str">
        <f>_xlfn.CONCAT(Global[[#This Row],[Country]], "-", Global[[#This Row],[Company]])</f>
        <v>United States-Cleveland Cliff</v>
      </c>
      <c r="D45" t="s">
        <v>59</v>
      </c>
      <c r="E45">
        <v>18.081587651598674</v>
      </c>
      <c r="F45">
        <v>17391.400220507167</v>
      </c>
      <c r="G45">
        <v>19567.805953693496</v>
      </c>
      <c r="H45">
        <v>44851.157662624035</v>
      </c>
      <c r="I45" s="2">
        <f>Global[[#This Row],[Dust load (tonnes)]]/Global[[#This Row],[CS Production (MTPA)]]*0.001</f>
        <v>0.96182926829268311</v>
      </c>
      <c r="J45" s="2">
        <f>Global[[#This Row],[SO2 load (tonnes)]]/Global[[#This Row],[CS Production (MTPA)]]*0.001</f>
        <v>1.0821951219512198</v>
      </c>
      <c r="K45" s="2">
        <f>Global[[#This Row],[NOx load (tonnes)]]/Global[[#This Row],[CS Production (MTPA)]]*0.001</f>
        <v>2.4804878048780492</v>
      </c>
      <c r="L45" s="4" t="s">
        <v>99</v>
      </c>
      <c r="M45" s="2"/>
      <c r="N45" s="2" t="s">
        <v>100</v>
      </c>
    </row>
    <row r="46" spans="1:14" ht="17" thickBot="1" x14ac:dyDescent="0.4">
      <c r="A46" s="10" t="s">
        <v>80</v>
      </c>
      <c r="B46" t="s">
        <v>95</v>
      </c>
      <c r="C46" t="str">
        <f>_xlfn.CONCAT(Global[[#This Row],[Country]], "-", Global[[#This Row],[Company]])</f>
        <v>United States-Cleveland Cliff</v>
      </c>
      <c r="D46" t="s">
        <v>61</v>
      </c>
      <c r="I46" s="2"/>
      <c r="J46" s="2"/>
      <c r="K46" s="2"/>
      <c r="L46" s="4"/>
      <c r="M46" s="2"/>
      <c r="N46" s="2" t="s">
        <v>101</v>
      </c>
    </row>
    <row r="47" spans="1:14" x14ac:dyDescent="0.35">
      <c r="A47" s="2" t="s">
        <v>102</v>
      </c>
      <c r="B47" t="s">
        <v>103</v>
      </c>
      <c r="C47" t="str">
        <f>_xlfn.CONCAT(Global[[#This Row],[Country]], "-", Global[[#This Row],[Company]])</f>
        <v>China-Baowu Steel</v>
      </c>
      <c r="D47" t="s">
        <v>52</v>
      </c>
      <c r="I47" s="2"/>
      <c r="J47" s="2"/>
      <c r="K47" s="2"/>
      <c r="M47" s="2"/>
      <c r="N47" s="2" t="s">
        <v>104</v>
      </c>
    </row>
    <row r="48" spans="1:14" x14ac:dyDescent="0.35">
      <c r="A48" s="2" t="s">
        <v>102</v>
      </c>
      <c r="B48" t="s">
        <v>103</v>
      </c>
      <c r="C48" t="str">
        <f>_xlfn.CONCAT(Global[[#This Row],[Country]], "-", Global[[#This Row],[Company]])</f>
        <v>China-Baowu Steel</v>
      </c>
      <c r="D48" t="s">
        <v>56</v>
      </c>
      <c r="I48" s="2">
        <v>0.56999999999999995</v>
      </c>
      <c r="J48" s="2">
        <v>0.28000000000000003</v>
      </c>
      <c r="K48" s="2">
        <v>0.66</v>
      </c>
      <c r="M48" s="2"/>
      <c r="N48" s="2" t="s">
        <v>105</v>
      </c>
    </row>
    <row r="49" spans="1:14" x14ac:dyDescent="0.35">
      <c r="A49" s="2" t="s">
        <v>102</v>
      </c>
      <c r="B49" t="s">
        <v>103</v>
      </c>
      <c r="C49" t="str">
        <f>_xlfn.CONCAT(Global[[#This Row],[Country]], "-", Global[[#This Row],[Company]])</f>
        <v>China-Baowu Steel</v>
      </c>
      <c r="D49" t="s">
        <v>59</v>
      </c>
      <c r="I49" s="2">
        <v>0.53</v>
      </c>
      <c r="J49" s="2">
        <v>0.27</v>
      </c>
      <c r="K49" s="2">
        <v>0.56000000000000005</v>
      </c>
      <c r="L49" s="38" t="s">
        <v>106</v>
      </c>
      <c r="M49" s="2"/>
      <c r="N49" s="2" t="s">
        <v>107</v>
      </c>
    </row>
    <row r="50" spans="1:14" ht="15" thickBot="1" x14ac:dyDescent="0.4">
      <c r="A50" s="2" t="s">
        <v>102</v>
      </c>
      <c r="B50" t="s">
        <v>103</v>
      </c>
      <c r="C50" t="str">
        <f>_xlfn.CONCAT(Global[[#This Row],[Country]], "-", Global[[#This Row],[Company]])</f>
        <v>China-Baowu Steel</v>
      </c>
      <c r="D50" t="s">
        <v>61</v>
      </c>
      <c r="I50" s="2">
        <v>0.53</v>
      </c>
      <c r="J50" s="2">
        <v>0.27</v>
      </c>
      <c r="K50" s="2">
        <v>0.56000000000000005</v>
      </c>
      <c r="M50" s="2"/>
      <c r="N50" s="2" t="s">
        <v>108</v>
      </c>
    </row>
    <row r="51" spans="1:14" ht="17" thickBot="1" x14ac:dyDescent="0.4">
      <c r="A51" s="10" t="s">
        <v>50</v>
      </c>
      <c r="B51" t="s">
        <v>109</v>
      </c>
      <c r="C51" t="str">
        <f>_xlfn.CONCAT(Global[[#This Row],[Country]], "-", Global[[#This Row],[Company]])</f>
        <v>South Korea-Hyundai</v>
      </c>
      <c r="D51" t="s">
        <v>52</v>
      </c>
      <c r="E51" s="9">
        <v>17.681999999999999</v>
      </c>
      <c r="F51">
        <v>292</v>
      </c>
      <c r="G51" s="2">
        <v>5749</v>
      </c>
      <c r="H51" s="2">
        <v>8523</v>
      </c>
      <c r="I51" s="2">
        <f>Global[[#This Row],[Dust load (tonnes)]]/Global[[#This Row],[CS Production (MTPA)]]*0.001</f>
        <v>1.6513969008030767E-2</v>
      </c>
      <c r="J51" s="2">
        <f>Global[[#This Row],[SO2 load (tonnes)]]/Global[[#This Row],[CS Production (MTPA)]]*0.001</f>
        <v>0.32513290351770169</v>
      </c>
      <c r="K51" s="2">
        <f>Global[[#This Row],[NOx load (tonnes)]]/Global[[#This Row],[CS Production (MTPA)]]*0.001</f>
        <v>0.48201560909399394</v>
      </c>
      <c r="L51" s="3" t="s">
        <v>110</v>
      </c>
      <c r="M51" s="2"/>
      <c r="N51" s="2" t="s">
        <v>111</v>
      </c>
    </row>
    <row r="52" spans="1:14" ht="17" thickBot="1" x14ac:dyDescent="0.4">
      <c r="A52" s="10" t="s">
        <v>50</v>
      </c>
      <c r="B52" t="s">
        <v>109</v>
      </c>
      <c r="C52" t="str">
        <f>_xlfn.CONCAT(Global[[#This Row],[Country]], "-", Global[[#This Row],[Company]])</f>
        <v>South Korea-Hyundai</v>
      </c>
      <c r="D52" t="s">
        <v>56</v>
      </c>
      <c r="E52" s="9">
        <v>18.094000000000001</v>
      </c>
      <c r="I52" s="2">
        <v>1.4E-2</v>
      </c>
      <c r="J52" s="2">
        <v>0.27600000000000002</v>
      </c>
      <c r="K52" s="2">
        <v>0.42599999999999999</v>
      </c>
      <c r="L52" s="39">
        <v>53435</v>
      </c>
      <c r="M52" s="2"/>
      <c r="N52" s="2" t="s">
        <v>112</v>
      </c>
    </row>
    <row r="53" spans="1:14" ht="17" thickBot="1" x14ac:dyDescent="0.4">
      <c r="A53" s="10" t="s">
        <v>50</v>
      </c>
      <c r="B53" t="s">
        <v>109</v>
      </c>
      <c r="C53" t="str">
        <f>_xlfn.CONCAT(Global[[#This Row],[Country]], "-", Global[[#This Row],[Company]])</f>
        <v>South Korea-Hyundai</v>
      </c>
      <c r="D53" t="s">
        <v>59</v>
      </c>
      <c r="E53" s="9">
        <v>18.952000000000002</v>
      </c>
      <c r="I53" s="2">
        <v>1.6E-2</v>
      </c>
      <c r="J53" s="2">
        <v>0.28699999999999998</v>
      </c>
      <c r="K53" s="2">
        <v>0.42199999999999999</v>
      </c>
      <c r="M53" s="2"/>
      <c r="N53" s="2" t="s">
        <v>113</v>
      </c>
    </row>
    <row r="54" spans="1:14" ht="17" thickBot="1" x14ac:dyDescent="0.4">
      <c r="A54" s="10" t="s">
        <v>50</v>
      </c>
      <c r="B54" t="s">
        <v>109</v>
      </c>
      <c r="C54" t="str">
        <f>_xlfn.CONCAT(Global[[#This Row],[Country]], "-", Global[[#This Row],[Company]])</f>
        <v>South Korea-Hyundai</v>
      </c>
      <c r="D54" t="s">
        <v>61</v>
      </c>
      <c r="E54" s="9">
        <v>18.527999999999999</v>
      </c>
      <c r="I54" s="2">
        <v>1.4E-2</v>
      </c>
      <c r="J54" s="2">
        <v>0.17899999999999999</v>
      </c>
      <c r="K54" s="2">
        <v>0.44800000000000001</v>
      </c>
      <c r="M54" s="2"/>
      <c r="N54" s="2" t="s">
        <v>114</v>
      </c>
    </row>
    <row r="55" spans="1:14" x14ac:dyDescent="0.35">
      <c r="A55" s="37" t="s">
        <v>115</v>
      </c>
      <c r="B55" t="s">
        <v>116</v>
      </c>
      <c r="C55" t="str">
        <f>_xlfn.CONCAT(Global[[#This Row],[Country]], "-", Global[[#This Row],[Company]])</f>
        <v>Luxembourg-Arcelormittal</v>
      </c>
      <c r="D55" t="s">
        <v>52</v>
      </c>
      <c r="E55">
        <v>55.6</v>
      </c>
      <c r="I55" s="2">
        <v>0.24</v>
      </c>
      <c r="J55" s="2">
        <v>1.2</v>
      </c>
      <c r="K55" s="2">
        <v>0.95</v>
      </c>
      <c r="L55" s="3" t="s">
        <v>117</v>
      </c>
      <c r="M55" s="2"/>
      <c r="N55" s="2" t="s">
        <v>118</v>
      </c>
    </row>
    <row r="56" spans="1:14" x14ac:dyDescent="0.35">
      <c r="A56" s="37" t="s">
        <v>115</v>
      </c>
      <c r="B56" t="s">
        <v>116</v>
      </c>
      <c r="C56" t="str">
        <f>_xlfn.CONCAT(Global[[#This Row],[Country]], "-", Global[[#This Row],[Company]])</f>
        <v>Luxembourg-Arcelormittal</v>
      </c>
      <c r="D56" t="s">
        <v>56</v>
      </c>
      <c r="E56">
        <v>57.9</v>
      </c>
      <c r="I56" s="2">
        <v>0.22</v>
      </c>
      <c r="J56" s="2">
        <v>2.2472375690607733</v>
      </c>
      <c r="K56" s="2">
        <v>0.93</v>
      </c>
      <c r="M56" s="2"/>
      <c r="N56" s="2" t="s">
        <v>119</v>
      </c>
    </row>
    <row r="57" spans="1:14" x14ac:dyDescent="0.35">
      <c r="A57" s="37" t="s">
        <v>115</v>
      </c>
      <c r="B57" t="s">
        <v>116</v>
      </c>
      <c r="C57" t="str">
        <f>_xlfn.CONCAT(Global[[#This Row],[Country]], "-", Global[[#This Row],[Company]])</f>
        <v>Luxembourg-Arcelormittal</v>
      </c>
      <c r="D57" t="s">
        <v>59</v>
      </c>
      <c r="E57">
        <v>58.1</v>
      </c>
      <c r="I57" s="2">
        <v>0.48</v>
      </c>
      <c r="J57" s="2">
        <v>0.53541666666666676</v>
      </c>
      <c r="K57" s="2">
        <v>1.07</v>
      </c>
      <c r="M57" s="2"/>
      <c r="N57" s="2" t="s">
        <v>120</v>
      </c>
    </row>
    <row r="58" spans="1:14" ht="15" thickBot="1" x14ac:dyDescent="0.4">
      <c r="A58" s="37" t="s">
        <v>115</v>
      </c>
      <c r="B58" t="s">
        <v>116</v>
      </c>
      <c r="C58" t="str">
        <f>_xlfn.CONCAT(Global[[#This Row],[Country]], "-", Global[[#This Row],[Company]])</f>
        <v>Luxembourg-Arcelormittal</v>
      </c>
      <c r="D58" t="s">
        <v>61</v>
      </c>
      <c r="I58" s="2"/>
      <c r="J58" s="2">
        <v>0.470059880239521</v>
      </c>
      <c r="K58" s="2">
        <v>1.1000000000000001</v>
      </c>
      <c r="M58" s="2"/>
      <c r="N58" s="2" t="s">
        <v>121</v>
      </c>
    </row>
    <row r="59" spans="1:14" ht="17" thickBot="1" x14ac:dyDescent="0.4">
      <c r="A59" s="10" t="s">
        <v>102</v>
      </c>
      <c r="B59" t="s">
        <v>122</v>
      </c>
      <c r="C59" t="str">
        <f>_xlfn.CONCAT(Global[[#This Row],[Country]], "-", Global[[#This Row],[Company]])</f>
        <v>China-China Steel</v>
      </c>
      <c r="D59" t="s">
        <v>52</v>
      </c>
      <c r="I59" s="2"/>
      <c r="J59" s="2"/>
      <c r="K59" s="2"/>
      <c r="M59" s="2"/>
      <c r="N59" s="2" t="s">
        <v>123</v>
      </c>
    </row>
    <row r="60" spans="1:14" ht="17" thickBot="1" x14ac:dyDescent="0.4">
      <c r="A60" s="10" t="s">
        <v>102</v>
      </c>
      <c r="B60" t="s">
        <v>122</v>
      </c>
      <c r="C60" t="str">
        <f>_xlfn.CONCAT(Global[[#This Row],[Country]], "-", Global[[#This Row],[Company]])</f>
        <v>China-China Steel</v>
      </c>
      <c r="D60" t="s">
        <v>56</v>
      </c>
      <c r="I60" s="2">
        <v>0.23100000000000001</v>
      </c>
      <c r="J60" s="2">
        <v>0.51600000000000001</v>
      </c>
      <c r="K60" s="2">
        <v>0.63</v>
      </c>
      <c r="L60" s="3" t="s">
        <v>124</v>
      </c>
      <c r="M60" s="2"/>
      <c r="N60" s="2" t="s">
        <v>125</v>
      </c>
    </row>
    <row r="61" spans="1:14" ht="17" thickBot="1" x14ac:dyDescent="0.4">
      <c r="A61" s="10" t="s">
        <v>102</v>
      </c>
      <c r="B61" t="s">
        <v>122</v>
      </c>
      <c r="C61" t="str">
        <f>_xlfn.CONCAT(Global[[#This Row],[Country]], "-", Global[[#This Row],[Company]])</f>
        <v>China-China Steel</v>
      </c>
      <c r="D61" t="s">
        <v>59</v>
      </c>
      <c r="I61" s="2">
        <v>0.22900000000000001</v>
      </c>
      <c r="J61" s="2">
        <v>0.53600000000000003</v>
      </c>
      <c r="K61" s="2">
        <v>0.67100000000000004</v>
      </c>
      <c r="M61" s="2"/>
      <c r="N61" s="2" t="s">
        <v>126</v>
      </c>
    </row>
    <row r="62" spans="1:14" ht="17" thickBot="1" x14ac:dyDescent="0.4">
      <c r="A62" s="10" t="s">
        <v>102</v>
      </c>
      <c r="B62" t="s">
        <v>122</v>
      </c>
      <c r="C62" t="str">
        <f>_xlfn.CONCAT(Global[[#This Row],[Country]], "-", Global[[#This Row],[Company]])</f>
        <v>China-China Steel</v>
      </c>
      <c r="D62" t="s">
        <v>61</v>
      </c>
      <c r="I62" s="2"/>
      <c r="J62" s="2"/>
      <c r="K62" s="2"/>
      <c r="M62" s="2"/>
      <c r="N62" s="2" t="s">
        <v>127</v>
      </c>
    </row>
    <row r="63" spans="1:14" x14ac:dyDescent="0.35">
      <c r="A63" s="2" t="s">
        <v>14</v>
      </c>
      <c r="B63" t="s">
        <v>128</v>
      </c>
      <c r="C63" t="str">
        <f>_xlfn.CONCAT(Global[[#This Row],[Country]], "-", Global[[#This Row],[Company]])</f>
        <v>India-AMNS</v>
      </c>
      <c r="D63" t="s">
        <v>16</v>
      </c>
      <c r="I63" s="2"/>
      <c r="J63" s="2"/>
      <c r="K63" s="2"/>
      <c r="M63" s="2"/>
      <c r="N63" s="2" t="s">
        <v>129</v>
      </c>
    </row>
    <row r="64" spans="1:14" x14ac:dyDescent="0.35">
      <c r="A64" s="2" t="s">
        <v>14</v>
      </c>
      <c r="B64" t="s">
        <v>128</v>
      </c>
      <c r="C64" t="str">
        <f>_xlfn.CONCAT(Global[[#This Row],[Country]], "-", Global[[#This Row],[Company]])</f>
        <v>India-AMNS</v>
      </c>
      <c r="D64" t="s">
        <v>18</v>
      </c>
      <c r="E64">
        <v>7.24</v>
      </c>
      <c r="F64" s="9">
        <v>4787</v>
      </c>
      <c r="G64" s="9">
        <v>16270</v>
      </c>
      <c r="H64" s="9">
        <v>11646</v>
      </c>
      <c r="I64" s="2">
        <v>0.66118784530386732</v>
      </c>
      <c r="J64" s="2">
        <v>2.2472375690607733</v>
      </c>
      <c r="K64" s="2">
        <v>1.6085635359116022</v>
      </c>
      <c r="M64" s="2"/>
      <c r="N64" s="2" t="s">
        <v>130</v>
      </c>
    </row>
    <row r="65" spans="1:14" x14ac:dyDescent="0.35">
      <c r="A65" s="2" t="s">
        <v>14</v>
      </c>
      <c r="B65" t="s">
        <v>128</v>
      </c>
      <c r="C65" t="str">
        <f>_xlfn.CONCAT(Global[[#This Row],[Country]], "-", Global[[#This Row],[Company]])</f>
        <v>India-AMNS</v>
      </c>
      <c r="D65" t="s">
        <v>21</v>
      </c>
      <c r="F65" s="9">
        <v>4112</v>
      </c>
      <c r="G65" s="9">
        <v>4112</v>
      </c>
      <c r="H65" s="9">
        <v>5801</v>
      </c>
      <c r="I65" s="2">
        <v>0.51236979166666674</v>
      </c>
      <c r="J65" s="2">
        <v>0.53541666666666676</v>
      </c>
      <c r="K65" s="2">
        <v>0.75533854166666681</v>
      </c>
      <c r="M65" s="2"/>
      <c r="N65" s="2" t="s">
        <v>131</v>
      </c>
    </row>
    <row r="66" spans="1:14" x14ac:dyDescent="0.35">
      <c r="A66" s="2" t="s">
        <v>14</v>
      </c>
      <c r="B66" t="s">
        <v>128</v>
      </c>
      <c r="C66" t="str">
        <f>_xlfn.CONCAT(Global[[#This Row],[Country]], "-", Global[[#This Row],[Company]])</f>
        <v>India-AMNS</v>
      </c>
      <c r="D66" t="s">
        <v>23</v>
      </c>
      <c r="I66" s="2"/>
      <c r="J66" s="2">
        <v>0.470059880239521</v>
      </c>
      <c r="K66" s="2">
        <v>0.80299401197604792</v>
      </c>
      <c r="M66" s="2"/>
      <c r="N66" s="2" t="s">
        <v>132</v>
      </c>
    </row>
    <row r="67" spans="1:14" x14ac:dyDescent="0.35">
      <c r="A67" s="37" t="s">
        <v>133</v>
      </c>
      <c r="B67" t="s">
        <v>134</v>
      </c>
      <c r="C67" t="str">
        <f>_xlfn.CONCAT(Global[[#This Row],[Country]], "-", Global[[#This Row],[Company]])</f>
        <v>Russia-Severstal</v>
      </c>
      <c r="D67" t="s">
        <v>52</v>
      </c>
      <c r="I67" s="2">
        <v>1.05</v>
      </c>
      <c r="J67" s="2">
        <v>1.89</v>
      </c>
      <c r="K67" s="2">
        <v>0.89</v>
      </c>
      <c r="M67" s="2"/>
      <c r="N67" s="2" t="s">
        <v>135</v>
      </c>
    </row>
    <row r="68" spans="1:14" x14ac:dyDescent="0.35">
      <c r="A68" s="37" t="s">
        <v>133</v>
      </c>
      <c r="B68" t="s">
        <v>134</v>
      </c>
      <c r="C68" t="str">
        <f>_xlfn.CONCAT(Global[[#This Row],[Country]], "-", Global[[#This Row],[Company]])</f>
        <v>Russia-Severstal</v>
      </c>
      <c r="D68" t="s">
        <v>56</v>
      </c>
      <c r="I68" s="2">
        <v>1.1499999999999999</v>
      </c>
      <c r="J68" s="2">
        <v>1.97</v>
      </c>
      <c r="K68" s="2">
        <v>0.96</v>
      </c>
      <c r="M68" s="2"/>
      <c r="N68" s="2" t="s">
        <v>136</v>
      </c>
    </row>
    <row r="69" spans="1:14" x14ac:dyDescent="0.35">
      <c r="A69" s="37" t="s">
        <v>133</v>
      </c>
      <c r="B69" t="s">
        <v>134</v>
      </c>
      <c r="C69" t="str">
        <f>_xlfn.CONCAT(Global[[#This Row],[Country]], "-", Global[[#This Row],[Company]])</f>
        <v>Russia-Severstal</v>
      </c>
      <c r="D69" t="s">
        <v>59</v>
      </c>
      <c r="I69" s="2">
        <v>1.24</v>
      </c>
      <c r="J69" s="2">
        <v>2.08</v>
      </c>
      <c r="K69" s="2">
        <v>0.88</v>
      </c>
      <c r="M69" s="2"/>
      <c r="N69" s="2" t="s">
        <v>137</v>
      </c>
    </row>
    <row r="70" spans="1:14" x14ac:dyDescent="0.35">
      <c r="A70" s="37" t="s">
        <v>133</v>
      </c>
      <c r="B70" t="s">
        <v>134</v>
      </c>
      <c r="C70" t="str">
        <f>_xlfn.CONCAT(Global[[#This Row],[Country]], "-", Global[[#This Row],[Company]])</f>
        <v>Russia-Severstal</v>
      </c>
      <c r="D70" t="s">
        <v>61</v>
      </c>
      <c r="I70" s="2">
        <v>1.31</v>
      </c>
      <c r="J70" s="2">
        <v>2.1</v>
      </c>
      <c r="K70" s="2">
        <v>0.91</v>
      </c>
      <c r="M70" s="2"/>
      <c r="N70" s="2" t="s">
        <v>138</v>
      </c>
    </row>
    <row r="71" spans="1:14" x14ac:dyDescent="0.35">
      <c r="A71" s="2" t="s">
        <v>139</v>
      </c>
      <c r="B71" t="s">
        <v>140</v>
      </c>
      <c r="C71" t="str">
        <f>_xlfn.CONCAT(Global[[#This Row],[Country]], "-", Global[[#This Row],[Company]])</f>
        <v>UK-TSUK</v>
      </c>
      <c r="D71" t="s">
        <v>52</v>
      </c>
      <c r="E71">
        <v>1.05</v>
      </c>
      <c r="I71" s="2">
        <v>0.38</v>
      </c>
      <c r="J71" s="2">
        <v>0.79</v>
      </c>
      <c r="K71" s="2">
        <v>0.74</v>
      </c>
      <c r="L71" s="38" t="s">
        <v>141</v>
      </c>
      <c r="M71" s="2"/>
      <c r="N71" s="2" t="s">
        <v>142</v>
      </c>
    </row>
    <row r="72" spans="1:14" x14ac:dyDescent="0.35">
      <c r="A72" s="2" t="s">
        <v>139</v>
      </c>
      <c r="B72" t="s">
        <v>140</v>
      </c>
      <c r="C72" t="str">
        <f>_xlfn.CONCAT(Global[[#This Row],[Country]], "-", Global[[#This Row],[Company]])</f>
        <v>UK-TSUK</v>
      </c>
      <c r="D72" t="s">
        <v>56</v>
      </c>
      <c r="E72" s="2">
        <v>2.89</v>
      </c>
      <c r="F72" s="2"/>
      <c r="G72" s="2"/>
      <c r="H72" s="2"/>
      <c r="I72" s="2">
        <v>0.45</v>
      </c>
      <c r="J72" s="2">
        <v>1.01</v>
      </c>
      <c r="K72" s="2">
        <v>0.89</v>
      </c>
      <c r="M72" s="2"/>
      <c r="N72" s="2" t="s">
        <v>143</v>
      </c>
    </row>
    <row r="73" spans="1:14" x14ac:dyDescent="0.35">
      <c r="A73" s="2" t="s">
        <v>139</v>
      </c>
      <c r="B73" t="s">
        <v>140</v>
      </c>
      <c r="C73" t="str">
        <f>_xlfn.CONCAT(Global[[#This Row],[Country]], "-", Global[[#This Row],[Company]])</f>
        <v>UK-TSUK</v>
      </c>
      <c r="D73" t="s">
        <v>59</v>
      </c>
      <c r="E73" s="2">
        <v>2.93</v>
      </c>
      <c r="F73" s="2"/>
      <c r="G73" s="2"/>
      <c r="H73" s="2"/>
      <c r="I73" s="2">
        <v>0.28999999999999998</v>
      </c>
      <c r="J73" s="2">
        <v>1.38</v>
      </c>
      <c r="K73" s="2">
        <v>1.3</v>
      </c>
      <c r="M73" s="2"/>
      <c r="N73" s="2" t="s">
        <v>144</v>
      </c>
    </row>
    <row r="74" spans="1:14" x14ac:dyDescent="0.35">
      <c r="A74" s="2" t="s">
        <v>145</v>
      </c>
      <c r="B74" t="s">
        <v>146</v>
      </c>
      <c r="C74" t="str">
        <f>_xlfn.CONCAT(Global[[#This Row],[Country]], "-", Global[[#This Row],[Company]])</f>
        <v>Netherlands-TSN</v>
      </c>
      <c r="D74" t="s">
        <v>52</v>
      </c>
      <c r="E74">
        <v>6.69</v>
      </c>
      <c r="F74">
        <v>386.96800000000002</v>
      </c>
      <c r="G74" s="9">
        <v>3086.8139999999999</v>
      </c>
      <c r="H74" s="9">
        <v>5675.2579999999998</v>
      </c>
      <c r="I74" s="2">
        <f>Global[[#This Row],[Dust load (tonnes)]]/Global[[#This Row],[CS Production (MTPA)]]*0.001</f>
        <v>5.7842750373692076E-2</v>
      </c>
      <c r="J74" s="2">
        <f>Global[[#This Row],[SO2 load (tonnes)]]/Global[[#This Row],[CS Production (MTPA)]]*0.001</f>
        <v>0.46140717488789235</v>
      </c>
      <c r="K74" s="2">
        <f>Global[[#This Row],[NOx load (tonnes)]]/Global[[#This Row],[CS Production (MTPA)]]*0.001</f>
        <v>0.84831958146487285</v>
      </c>
      <c r="M74" t="s">
        <v>147</v>
      </c>
      <c r="N74" s="2" t="s">
        <v>148</v>
      </c>
    </row>
    <row r="75" spans="1:14" x14ac:dyDescent="0.35">
      <c r="A75" s="2" t="s">
        <v>145</v>
      </c>
      <c r="B75" t="s">
        <v>146</v>
      </c>
      <c r="C75" t="str">
        <f>_xlfn.CONCAT(Global[[#This Row],[Country]], "-", Global[[#This Row],[Company]])</f>
        <v>Netherlands-TSN</v>
      </c>
      <c r="D75" t="s">
        <v>56</v>
      </c>
      <c r="E75">
        <v>6.75</v>
      </c>
      <c r="F75">
        <v>417.17899999999997</v>
      </c>
      <c r="G75" s="9">
        <v>2964.74</v>
      </c>
      <c r="H75" s="9">
        <v>5061.8320000000003</v>
      </c>
      <c r="I75" s="2">
        <f>Global[[#This Row],[Dust load (tonnes)]]/Global[[#This Row],[CS Production (MTPA)]]*0.001</f>
        <v>6.1804296296296295E-2</v>
      </c>
      <c r="J75" s="2">
        <f>Global[[#This Row],[SO2 load (tonnes)]]/Global[[#This Row],[CS Production (MTPA)]]*0.001</f>
        <v>0.43922074074074074</v>
      </c>
      <c r="K75" s="2">
        <f>Global[[#This Row],[NOx load (tonnes)]]/Global[[#This Row],[CS Production (MTPA)]]*0.001</f>
        <v>0.74990103703703714</v>
      </c>
      <c r="L75" s="3" t="s">
        <v>149</v>
      </c>
      <c r="M75" s="2"/>
      <c r="N75" s="2" t="s">
        <v>150</v>
      </c>
    </row>
    <row r="76" spans="1:14" x14ac:dyDescent="0.35">
      <c r="A76" s="2" t="s">
        <v>145</v>
      </c>
      <c r="B76" t="s">
        <v>146</v>
      </c>
      <c r="C76" t="str">
        <f>_xlfn.CONCAT(Global[[#This Row],[Country]], "-", Global[[#This Row],[Company]])</f>
        <v>Netherlands-TSN</v>
      </c>
      <c r="D76" t="s">
        <v>59</v>
      </c>
      <c r="E76">
        <v>4.8099999999999996</v>
      </c>
      <c r="F76">
        <v>1442</v>
      </c>
      <c r="G76">
        <v>2795</v>
      </c>
      <c r="H76">
        <v>4254</v>
      </c>
      <c r="I76" s="2">
        <f>Global[[#This Row],[Dust load (tonnes)]]/Global[[#This Row],[CS Production (MTPA)]]*0.001</f>
        <v>0.29979209979209981</v>
      </c>
      <c r="J76" s="2">
        <v>0.6</v>
      </c>
      <c r="K76" s="2">
        <v>0.9</v>
      </c>
      <c r="M76" s="2"/>
      <c r="N76" s="2" t="s">
        <v>151</v>
      </c>
    </row>
    <row r="77" spans="1:14" x14ac:dyDescent="0.35">
      <c r="A77" s="2" t="s">
        <v>152</v>
      </c>
      <c r="B77" s="2" t="s">
        <v>153</v>
      </c>
      <c r="C77" t="str">
        <f>_xlfn.CONCAT(Global[[#This Row],[Country]], "-", Global[[#This Row],[Company]])</f>
        <v>Germany-Thyssenkrupp</v>
      </c>
      <c r="D77" t="s">
        <v>18</v>
      </c>
      <c r="E77">
        <v>9.3000000000000007</v>
      </c>
      <c r="F77" s="9">
        <v>7845</v>
      </c>
      <c r="G77" s="9">
        <v>11581</v>
      </c>
      <c r="H77" s="9">
        <v>9878</v>
      </c>
      <c r="I77" s="2">
        <f>Global[[#This Row],[Dust load (tonnes)]]/Global[[#This Row],[CS Production (MTPA)]]*0.001</f>
        <v>0.84354838709677415</v>
      </c>
      <c r="J77" s="2">
        <f>Global[[#This Row],[SO2 load (tonnes)]]/Global[[#This Row],[CS Production (MTPA)]]*0.001</f>
        <v>1.2452688172043012</v>
      </c>
      <c r="K77" s="2">
        <f>Global[[#This Row],[NOx load (tonnes)]]/Global[[#This Row],[CS Production (MTPA)]]*0.001</f>
        <v>1.0621505376344085</v>
      </c>
      <c r="L77" s="3" t="s">
        <v>154</v>
      </c>
      <c r="M77" s="2"/>
      <c r="N77" s="2" t="s">
        <v>155</v>
      </c>
    </row>
    <row r="78" spans="1:14" x14ac:dyDescent="0.35">
      <c r="A78" s="2" t="s">
        <v>152</v>
      </c>
      <c r="B78" s="2" t="s">
        <v>153</v>
      </c>
      <c r="C78" t="str">
        <f>_xlfn.CONCAT(Global[[#This Row],[Country]], "-", Global[[#This Row],[Company]])</f>
        <v>Germany-Thyssenkrupp</v>
      </c>
      <c r="D78" t="s">
        <v>21</v>
      </c>
      <c r="E78">
        <v>10.3</v>
      </c>
      <c r="F78">
        <v>3200</v>
      </c>
      <c r="G78">
        <v>13700</v>
      </c>
      <c r="H78">
        <v>12900</v>
      </c>
      <c r="I78" s="2">
        <f>Global[[#This Row],[Dust load (tonnes)]]/Global[[#This Row],[CS Production (MTPA)]]*0.001</f>
        <v>0.31067961165048541</v>
      </c>
      <c r="J78" s="2">
        <f>Global[[#This Row],[SO2 load (tonnes)]]/Global[[#This Row],[CS Production (MTPA)]]*0.001</f>
        <v>1.3300970873786406</v>
      </c>
      <c r="K78" s="2">
        <f>Global[[#This Row],[NOx load (tonnes)]]/Global[[#This Row],[CS Production (MTPA)]]*0.001</f>
        <v>1.2524271844660193</v>
      </c>
      <c r="M78" s="2"/>
      <c r="N78" s="2" t="s">
        <v>156</v>
      </c>
    </row>
    <row r="79" spans="1:14" x14ac:dyDescent="0.35">
      <c r="A79" s="2" t="s">
        <v>152</v>
      </c>
      <c r="B79" s="2" t="s">
        <v>153</v>
      </c>
      <c r="C79" t="str">
        <f>_xlfn.CONCAT(Global[[#This Row],[Country]], "-", Global[[#This Row],[Company]])</f>
        <v>Germany-Thyssenkrupp</v>
      </c>
      <c r="D79" t="s">
        <v>23</v>
      </c>
      <c r="E79">
        <v>10.34</v>
      </c>
      <c r="F79">
        <v>3300</v>
      </c>
      <c r="G79">
        <v>13700</v>
      </c>
      <c r="H79">
        <v>13600</v>
      </c>
      <c r="I79" s="2">
        <f>Global[[#This Row],[Dust load (tonnes)]]/Global[[#This Row],[CS Production (MTPA)]]*0.001</f>
        <v>0.31914893617021278</v>
      </c>
      <c r="J79" s="2">
        <f>Global[[#This Row],[SO2 load (tonnes)]]/Global[[#This Row],[CS Production (MTPA)]]*0.001</f>
        <v>1.3249516441005804</v>
      </c>
      <c r="K79" s="2">
        <f>Global[[#This Row],[NOx load (tonnes)]]/Global[[#This Row],[CS Production (MTPA)]]*0.001</f>
        <v>1.3152804642166345</v>
      </c>
      <c r="M79" s="2"/>
      <c r="N79" s="2" t="s">
        <v>157</v>
      </c>
    </row>
  </sheetData>
  <phoneticPr fontId="5" type="noConversion"/>
  <hyperlinks>
    <hyperlink ref="L60" r:id="rId1" display="https://www.csc.com.tw/csc_e/esg/pdf/hr-2024e.pdf" xr:uid="{9656F99A-1133-4991-B47E-B6CA0382B47A}"/>
    <hyperlink ref="L49" r:id="rId2" xr:uid="{986C1886-7CA6-4E76-B755-FA23619087CA}"/>
    <hyperlink ref="L45" r:id="rId3" display="https://d1io3yog0oux5.cloudfront.net/_a8588941e01003fc1297d48ea77754c9/clevelandcliffs/files/pages/clevelandcliffs/db/1149/description/2025+Documents/CLF_SustainabilityReport_2024.pdf" xr:uid="{1098BFD3-A8F0-4F3D-A193-4A5E5C986244}"/>
    <hyperlink ref="L41" r:id="rId4" display="https://api.mziq.com/mzfilemanager/v2/d/21e1d193-5cab-456d-8bb8-f00a49a43c1c/9a131b11-de57-b47e-f708-8d708ae30688?origin=1" xr:uid="{232869D9-6140-4202-95A6-304A14ED0AAD}"/>
    <hyperlink ref="L37" r:id="rId5" display="https://sustainability.ussteel.com/documents/d/sustainability/uss_2024-sustainability-report" xr:uid="{0FE0DA41-772D-4DC0-9185-250FF6D6D8E3}"/>
    <hyperlink ref="L33" r:id="rId6" display="C:\Users\810126\Downloads\SSAB_Annual_report_2024.pdf" xr:uid="{A2EA5BE6-1130-43CA-9AD4-65972919E4BB}"/>
    <hyperlink ref="L29" r:id="rId7" display="https://reports.voestalpine.com/2024/cr-report/_assets/downloads/entire-va-crr24.pdf" xr:uid="{4FEB612B-2C42-4C61-A748-7B16768D6A4B}"/>
    <hyperlink ref="L24" r:id="rId8" xr:uid="{CB218573-7C56-4996-BD06-4FB4A1C21A33}"/>
    <hyperlink ref="L16" r:id="rId9" display="https://www.jswsteel.in/jsw-steel-annual-report-2024-25/air-emissions.html" xr:uid="{D3560111-4F53-40EA-A73F-040A8A1E0223}"/>
    <hyperlink ref="L8" r:id="rId10" display="https://sail.co.in/sites/default/files/2025-08/Sail Annual Report_2025_%2825_08_2025%29.pdf" xr:uid="{59EDE37F-2F38-45B9-BCB2-1733D24551DE}"/>
    <hyperlink ref="L4" r:id="rId11" display="https://www.tatasteel.com/media/23973/fy25-integratedreport.pdf" xr:uid="{46A30AC4-8E87-4EC8-848F-BBF4D4E5A01E}"/>
    <hyperlink ref="L27" r:id="rId12" display="https://www.voestalpine.com/group/static/sites/group/.downloads/en/publications-2025-26/2025-26-annual-report.pdf" xr:uid="{E4D95E5D-C9DF-4F7E-AA62-5DA033AB20B8}"/>
    <hyperlink ref="L55" r:id="rId13" display="C:\Users\810126\Downloads\572.sar.en.2025.pdf" xr:uid="{87446388-8E34-4E3A-847C-587BD19B1AEE}"/>
    <hyperlink ref="L52" r:id="rId14" display="https://www.hyundai-steel.com/common/filePreview/53435?sr_report=hyundaisteel_sr_en_2025.pdf" xr:uid="{92E83BA8-F5D1-4A2A-A8C5-06C4AE266C6D}"/>
    <hyperlink ref="L43" r:id="rId15" display="https://d1io3yog0oux5.cloudfront.net/_372d519d45d4296805520e0873025638/clevelandcliffs/files/pages/clevelandcliffs/db/1149/description/2026+Documents/CLF_SustainabilityReport_2025.pdf" xr:uid="{FB6ED55D-421C-4DFA-8E64-E2BB836E60B4}"/>
    <hyperlink ref="L15" r:id="rId16" display="https://www.jswsteel.in/jsw-steel-annual-report-2025-26/pdf/JSWSL-Integrated-Annual-Report-FY-2025-26.pdf" xr:uid="{AFF652F8-AB46-4DEB-91E3-FC7F8CAE7221}"/>
    <hyperlink ref="L23" r:id="rId17" xr:uid="{E39EAD3B-5F3A-4D7B-8AC5-F48BA9B2CA72}"/>
    <hyperlink ref="L31" r:id="rId18" display="C:\Users\810126\Downloads\SSAB Annual report 2025 (1).pdf" xr:uid="{0F7185DF-BDC5-4439-9303-C945535D28FB}"/>
    <hyperlink ref="L51" r:id="rId19" display="C:\Users\810126\Downloads\2026_HyundaiSteel_SustainabilityReport_ENG.pdf" xr:uid="{9DF6CF2B-4D7C-446F-968C-FA1916AA824D}"/>
    <hyperlink ref="L36" r:id="rId20" display="https://sustainability.ussteel.com/documents/d/sustainability/uss_2024-sustainability-report" xr:uid="{200363CC-353D-414F-8B5A-4405F91C1461}"/>
    <hyperlink ref="L77" r:id="rId21" display="C:\Users\810126\Downloads\Annual_report_2024_2025_of_thyssenkrupp_AG_WEB (4).pdf" xr:uid="{2B8B321D-EB06-45C3-B715-66BE72D59370}"/>
    <hyperlink ref="L75" r:id="rId22" display="https://jaarverslag.tatasteelnederland.com/external/asset/download/project/f93d6d0a-03ea-0000-5641-0cd910567c78/name/TSN_BV_Annual_Report_2025.pdf" xr:uid="{F9FC8B74-B1AE-4541-A112-1CF7E2A2DA98}"/>
    <hyperlink ref="L71" r:id="rId23" display="C:\Users\810126\Downloads\tata-steel-uk-sustainability-report-2023-2025.pdf" xr:uid="{B745AF47-A628-48D6-978A-B3974F7A5F50}"/>
  </hyperlinks>
  <pageMargins left="0.7" right="0.7" top="0.75" bottom="0.75" header="0.3" footer="0.3"/>
  <pageSetup orientation="portrait" r:id="rId24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0C79-5C97-45F0-9B71-702A6B858E26}">
  <dimension ref="C2:Q129"/>
  <sheetViews>
    <sheetView showGridLines="0" zoomScale="89" zoomScaleNormal="55" workbookViewId="0">
      <selection activeCell="F122" sqref="F122"/>
    </sheetView>
  </sheetViews>
  <sheetFormatPr defaultRowHeight="14.5" x14ac:dyDescent="0.35"/>
  <cols>
    <col min="3" max="7" width="25.81640625" customWidth="1"/>
    <col min="13" max="13" width="17" customWidth="1"/>
  </cols>
  <sheetData>
    <row r="2" spans="3:17" x14ac:dyDescent="0.35">
      <c r="C2" s="29" t="s">
        <v>1</v>
      </c>
      <c r="D2" s="29" t="s">
        <v>3</v>
      </c>
      <c r="E2" s="29" t="s">
        <v>158</v>
      </c>
      <c r="F2" s="29" t="s">
        <v>159</v>
      </c>
      <c r="G2" s="29" t="s">
        <v>160</v>
      </c>
      <c r="I2" s="29" t="s">
        <v>1</v>
      </c>
      <c r="J2" s="29"/>
    </row>
    <row r="3" spans="3:17" x14ac:dyDescent="0.35">
      <c r="C3" s="54" t="s">
        <v>161</v>
      </c>
      <c r="D3" s="11" t="s">
        <v>16</v>
      </c>
      <c r="E3" s="32">
        <v>0.33</v>
      </c>
      <c r="F3" s="32">
        <v>2.2999999999999998</v>
      </c>
      <c r="G3" s="32">
        <v>1</v>
      </c>
      <c r="I3" s="54" t="s">
        <v>162</v>
      </c>
      <c r="J3" s="11" t="s">
        <v>59</v>
      </c>
      <c r="K3" s="32">
        <v>1.6513969008030767E-2</v>
      </c>
      <c r="M3" s="54" t="s">
        <v>163</v>
      </c>
      <c r="N3" s="32">
        <v>0.27</v>
      </c>
      <c r="P3" s="54" t="s">
        <v>164</v>
      </c>
      <c r="Q3" s="32">
        <v>0.46</v>
      </c>
    </row>
    <row r="4" spans="3:17" x14ac:dyDescent="0.35">
      <c r="C4" s="54"/>
      <c r="D4" s="11" t="s">
        <v>18</v>
      </c>
      <c r="E4" s="32">
        <v>0.31</v>
      </c>
      <c r="F4" s="32">
        <v>1.62</v>
      </c>
      <c r="G4" s="32">
        <v>0.86</v>
      </c>
      <c r="I4" s="54"/>
      <c r="J4" s="11" t="s">
        <v>56</v>
      </c>
      <c r="K4" s="32">
        <v>1.4E-2</v>
      </c>
      <c r="M4" s="54"/>
      <c r="N4" s="32">
        <v>0.28000000000000003</v>
      </c>
      <c r="P4" s="54"/>
      <c r="Q4" s="32">
        <v>0.45932405430580253</v>
      </c>
    </row>
    <row r="5" spans="3:17" x14ac:dyDescent="0.35">
      <c r="C5" s="54"/>
      <c r="D5" s="11" t="s">
        <v>21</v>
      </c>
      <c r="E5" s="32">
        <v>0.35</v>
      </c>
      <c r="F5" s="32">
        <v>1.63</v>
      </c>
      <c r="G5" s="32">
        <v>0.87</v>
      </c>
      <c r="I5" s="54"/>
      <c r="J5" s="11" t="s">
        <v>52</v>
      </c>
      <c r="K5" s="32">
        <v>1.6E-2</v>
      </c>
      <c r="M5" s="54"/>
      <c r="P5" s="54"/>
      <c r="Q5" s="32">
        <v>0.36</v>
      </c>
    </row>
    <row r="6" spans="3:17" x14ac:dyDescent="0.35">
      <c r="C6" s="33"/>
      <c r="D6" s="11"/>
      <c r="E6" s="32"/>
      <c r="F6" s="32"/>
      <c r="G6" s="32"/>
    </row>
    <row r="7" spans="3:17" x14ac:dyDescent="0.35">
      <c r="C7" s="54" t="s">
        <v>165</v>
      </c>
      <c r="D7" s="11" t="s">
        <v>16</v>
      </c>
      <c r="E7" s="32"/>
      <c r="F7" s="32"/>
      <c r="G7" s="32"/>
      <c r="I7" s="54" t="s">
        <v>166</v>
      </c>
      <c r="J7" s="11" t="s">
        <v>59</v>
      </c>
      <c r="K7" s="32">
        <v>0.04</v>
      </c>
      <c r="M7" s="54" t="s">
        <v>162</v>
      </c>
      <c r="N7" s="32">
        <v>0.28999999999999998</v>
      </c>
      <c r="P7" s="54" t="s">
        <v>162</v>
      </c>
      <c r="Q7" s="32">
        <v>0.42</v>
      </c>
    </row>
    <row r="8" spans="3:17" x14ac:dyDescent="0.35">
      <c r="C8" s="54"/>
      <c r="D8" s="11" t="s">
        <v>18</v>
      </c>
      <c r="E8" s="32">
        <v>0.56000000000000005</v>
      </c>
      <c r="F8" s="32">
        <v>0.95</v>
      </c>
      <c r="G8" s="32">
        <v>0.8</v>
      </c>
      <c r="I8" s="54"/>
      <c r="J8" s="11" t="s">
        <v>56</v>
      </c>
      <c r="K8" s="32">
        <v>4.7500000000000001E-2</v>
      </c>
      <c r="M8" s="54"/>
      <c r="N8" s="32">
        <v>0.27600000000000002</v>
      </c>
      <c r="P8" s="54"/>
      <c r="Q8" s="32">
        <v>0.42599999999999999</v>
      </c>
    </row>
    <row r="9" spans="3:17" x14ac:dyDescent="0.35">
      <c r="C9" s="54"/>
      <c r="D9" s="11" t="s">
        <v>21</v>
      </c>
      <c r="E9" s="32">
        <v>0.57999999999999996</v>
      </c>
      <c r="F9" s="32">
        <v>1.1000000000000001</v>
      </c>
      <c r="G9" s="32">
        <v>0.76</v>
      </c>
      <c r="I9" s="54"/>
      <c r="J9" s="11" t="s">
        <v>52</v>
      </c>
      <c r="K9" s="32">
        <v>0.05</v>
      </c>
      <c r="M9" s="54"/>
      <c r="N9" s="32">
        <v>0.33</v>
      </c>
      <c r="P9" s="54"/>
      <c r="Q9" s="32">
        <v>0.48</v>
      </c>
    </row>
    <row r="10" spans="3:17" x14ac:dyDescent="0.35">
      <c r="C10" s="33"/>
      <c r="D10" s="11"/>
      <c r="E10" s="32"/>
      <c r="F10" s="32"/>
      <c r="G10" s="32"/>
      <c r="I10" s="36"/>
      <c r="J10" s="36"/>
      <c r="K10" s="2"/>
      <c r="M10" s="36"/>
      <c r="N10" s="2"/>
      <c r="P10" s="36"/>
    </row>
    <row r="11" spans="3:17" x14ac:dyDescent="0.35">
      <c r="C11" s="33"/>
      <c r="D11" s="11"/>
      <c r="E11" s="32"/>
      <c r="F11" s="32"/>
      <c r="G11" s="32"/>
      <c r="I11" s="33" t="s">
        <v>167</v>
      </c>
      <c r="J11" s="11" t="s">
        <v>59</v>
      </c>
      <c r="K11" s="32">
        <v>0.09</v>
      </c>
      <c r="M11" s="54" t="s">
        <v>167</v>
      </c>
      <c r="N11" s="32">
        <v>0.36671656007620085</v>
      </c>
      <c r="P11" s="54" t="s">
        <v>167</v>
      </c>
      <c r="Q11" s="32">
        <v>0.49571370254456387</v>
      </c>
    </row>
    <row r="12" spans="3:17" x14ac:dyDescent="0.35">
      <c r="C12" s="33"/>
      <c r="D12" s="11"/>
      <c r="E12" s="32"/>
      <c r="F12" s="32"/>
      <c r="G12" s="32"/>
      <c r="I12" s="33"/>
      <c r="J12" s="11" t="s">
        <v>56</v>
      </c>
      <c r="K12" s="32">
        <v>8.5453803238535853E-2</v>
      </c>
      <c r="M12" s="54"/>
      <c r="N12" s="32">
        <v>0.36671656007620085</v>
      </c>
      <c r="P12" s="54"/>
      <c r="Q12" s="32">
        <v>0.49571370254456387</v>
      </c>
    </row>
    <row r="13" spans="3:17" x14ac:dyDescent="0.35">
      <c r="C13" s="33"/>
      <c r="D13" s="11"/>
      <c r="E13" s="32"/>
      <c r="F13" s="32"/>
      <c r="G13" s="32"/>
      <c r="I13" s="33"/>
      <c r="J13" s="11" t="s">
        <v>52</v>
      </c>
      <c r="K13" s="32">
        <v>0.08</v>
      </c>
      <c r="M13" s="54"/>
      <c r="N13" s="32">
        <v>0.44608233731739705</v>
      </c>
      <c r="P13" s="54"/>
      <c r="Q13" s="32">
        <v>0.47</v>
      </c>
    </row>
    <row r="14" spans="3:17" x14ac:dyDescent="0.35">
      <c r="C14" s="33"/>
      <c r="D14" s="11"/>
      <c r="E14" s="32"/>
      <c r="F14" s="32"/>
      <c r="G14" s="32"/>
    </row>
    <row r="15" spans="3:17" x14ac:dyDescent="0.35">
      <c r="C15" s="54" t="s">
        <v>168</v>
      </c>
      <c r="D15" s="11" t="s">
        <v>16</v>
      </c>
      <c r="E15" s="32"/>
      <c r="F15" s="32"/>
      <c r="G15" s="32"/>
      <c r="I15" s="33" t="s">
        <v>169</v>
      </c>
      <c r="J15" s="11" t="s">
        <v>59</v>
      </c>
      <c r="K15" s="32">
        <v>0.1</v>
      </c>
      <c r="M15" s="54" t="s">
        <v>170</v>
      </c>
      <c r="N15" s="32">
        <v>0.54400564174894217</v>
      </c>
      <c r="P15" s="54" t="s">
        <v>166</v>
      </c>
      <c r="Q15" s="32">
        <v>0.64</v>
      </c>
    </row>
    <row r="16" spans="3:17" x14ac:dyDescent="0.35">
      <c r="C16" s="54"/>
      <c r="D16" s="11" t="s">
        <v>18</v>
      </c>
      <c r="E16" s="32">
        <v>0.59</v>
      </c>
      <c r="F16" s="32">
        <v>3.88</v>
      </c>
      <c r="G16" s="32">
        <v>1.79</v>
      </c>
      <c r="I16" s="33"/>
      <c r="J16" s="11" t="s">
        <v>56</v>
      </c>
      <c r="K16" s="32">
        <v>8.7451495092444653E-2</v>
      </c>
      <c r="M16" s="54"/>
      <c r="N16" s="32">
        <v>0.47161043921069384</v>
      </c>
      <c r="P16" s="54"/>
      <c r="Q16" s="32">
        <v>0.60277777777777775</v>
      </c>
    </row>
    <row r="17" spans="3:17" x14ac:dyDescent="0.35">
      <c r="C17" s="54"/>
      <c r="D17" s="11" t="s">
        <v>21</v>
      </c>
      <c r="E17" s="32">
        <v>0.6</v>
      </c>
      <c r="F17" s="32">
        <v>3.7</v>
      </c>
      <c r="G17" s="32">
        <v>1.95</v>
      </c>
      <c r="I17" s="33"/>
      <c r="J17" s="11" t="s">
        <v>52</v>
      </c>
      <c r="K17" s="32">
        <v>0.08</v>
      </c>
      <c r="M17" s="54"/>
      <c r="P17" s="54"/>
      <c r="Q17" s="32">
        <v>0.47</v>
      </c>
    </row>
    <row r="18" spans="3:17" x14ac:dyDescent="0.35">
      <c r="C18" s="33"/>
      <c r="D18" s="11"/>
      <c r="E18" s="32"/>
      <c r="F18" s="32"/>
      <c r="G18" s="32"/>
    </row>
    <row r="19" spans="3:17" x14ac:dyDescent="0.35">
      <c r="C19" s="54" t="s">
        <v>171</v>
      </c>
      <c r="D19" s="11" t="s">
        <v>16</v>
      </c>
      <c r="E19" s="32">
        <v>0.33</v>
      </c>
      <c r="F19" s="32">
        <v>1.34</v>
      </c>
      <c r="G19" s="32">
        <v>1.03</v>
      </c>
      <c r="I19" s="33" t="s">
        <v>164</v>
      </c>
      <c r="J19" s="11" t="s">
        <v>59</v>
      </c>
      <c r="K19" s="32">
        <v>0.24</v>
      </c>
      <c r="M19" s="54" t="s">
        <v>172</v>
      </c>
      <c r="N19" s="32">
        <v>0.6</v>
      </c>
      <c r="P19" s="54" t="s">
        <v>173</v>
      </c>
      <c r="Q19" s="32">
        <v>0.67100000000000004</v>
      </c>
    </row>
    <row r="20" spans="3:17" x14ac:dyDescent="0.35">
      <c r="C20" s="54"/>
      <c r="D20" s="11" t="s">
        <v>18</v>
      </c>
      <c r="E20" s="32">
        <v>0.36</v>
      </c>
      <c r="F20" s="32">
        <v>1.51</v>
      </c>
      <c r="G20" s="32">
        <v>1.0900000000000001</v>
      </c>
      <c r="I20" s="33"/>
      <c r="J20" s="11" t="s">
        <v>56</v>
      </c>
      <c r="K20" s="32">
        <v>0.23992292769931833</v>
      </c>
      <c r="M20" s="54"/>
      <c r="N20" s="32">
        <v>0.43922074074074074</v>
      </c>
      <c r="P20" s="54"/>
      <c r="Q20" s="32">
        <v>0.63</v>
      </c>
    </row>
    <row r="21" spans="3:17" x14ac:dyDescent="0.35">
      <c r="C21" s="54"/>
      <c r="D21" s="11" t="s">
        <v>21</v>
      </c>
      <c r="E21" s="32">
        <v>0.38</v>
      </c>
      <c r="F21" s="32">
        <v>1.66</v>
      </c>
      <c r="G21" s="32">
        <v>1.19</v>
      </c>
      <c r="I21" s="33"/>
      <c r="J21" s="11" t="s">
        <v>52</v>
      </c>
      <c r="K21" s="32">
        <v>0.2</v>
      </c>
      <c r="M21" s="54"/>
      <c r="N21" s="32">
        <v>0.46</v>
      </c>
      <c r="P21" s="54"/>
    </row>
    <row r="22" spans="3:17" x14ac:dyDescent="0.35">
      <c r="C22" s="33"/>
      <c r="D22" s="11"/>
      <c r="E22" s="32"/>
      <c r="F22" s="32"/>
      <c r="G22" s="32"/>
    </row>
    <row r="23" spans="3:17" x14ac:dyDescent="0.35">
      <c r="C23" s="54" t="s">
        <v>174</v>
      </c>
      <c r="D23" s="11" t="s">
        <v>16</v>
      </c>
      <c r="E23" s="32"/>
      <c r="F23" s="32"/>
      <c r="G23" s="32"/>
      <c r="I23" s="54" t="s">
        <v>173</v>
      </c>
      <c r="J23" s="11" t="s">
        <v>59</v>
      </c>
      <c r="K23" s="32">
        <v>0.22900000000000001</v>
      </c>
      <c r="M23" s="54" t="s">
        <v>173</v>
      </c>
      <c r="N23" s="32">
        <v>0.53600000000000003</v>
      </c>
      <c r="P23" s="54" t="s">
        <v>163</v>
      </c>
      <c r="Q23" s="32">
        <v>0.56000000000000005</v>
      </c>
    </row>
    <row r="24" spans="3:17" x14ac:dyDescent="0.35">
      <c r="C24" s="54"/>
      <c r="D24" s="11" t="s">
        <v>18</v>
      </c>
      <c r="E24" s="32">
        <v>0.67487147071217868</v>
      </c>
      <c r="F24" s="32">
        <v>1.9303371260008426</v>
      </c>
      <c r="G24" s="32">
        <v>1.0650990307627477</v>
      </c>
      <c r="I24" s="54"/>
      <c r="J24" s="11" t="s">
        <v>56</v>
      </c>
      <c r="K24" s="32">
        <v>0.23100000000000001</v>
      </c>
      <c r="M24" s="54"/>
      <c r="N24" s="32">
        <v>0.51600000000000001</v>
      </c>
      <c r="P24" s="54"/>
      <c r="Q24" s="32">
        <v>0.66</v>
      </c>
    </row>
    <row r="25" spans="3:17" x14ac:dyDescent="0.35">
      <c r="C25" s="54"/>
      <c r="D25" s="11" t="s">
        <v>21</v>
      </c>
      <c r="E25" s="32">
        <v>0.60380275862068966</v>
      </c>
      <c r="F25" s="32">
        <v>1.4124432183908047</v>
      </c>
      <c r="G25" s="32">
        <v>0.81957701149425299</v>
      </c>
      <c r="I25" s="54"/>
      <c r="J25" s="11" t="s">
        <v>52</v>
      </c>
      <c r="M25" s="54"/>
      <c r="P25" s="54"/>
    </row>
    <row r="26" spans="3:17" x14ac:dyDescent="0.35">
      <c r="C26" s="33"/>
      <c r="D26" s="11"/>
      <c r="E26" s="32"/>
      <c r="F26" s="32"/>
      <c r="G26" s="32"/>
    </row>
    <row r="27" spans="3:17" x14ac:dyDescent="0.35">
      <c r="C27" s="54" t="s">
        <v>169</v>
      </c>
      <c r="D27" s="11" t="s">
        <v>52</v>
      </c>
      <c r="E27" s="32">
        <v>8.0808351177730192E-2</v>
      </c>
      <c r="F27" s="32">
        <v>0.67157387580299788</v>
      </c>
      <c r="G27" s="32">
        <v>0.690524625267666</v>
      </c>
      <c r="I27" s="54" t="s">
        <v>172</v>
      </c>
      <c r="J27" s="11" t="s">
        <v>59</v>
      </c>
      <c r="K27" s="32">
        <v>0.31</v>
      </c>
      <c r="M27" s="54" t="s">
        <v>169</v>
      </c>
      <c r="N27" s="32">
        <v>0.67157387580299788</v>
      </c>
      <c r="P27" s="54" t="s">
        <v>169</v>
      </c>
      <c r="Q27" s="32">
        <v>0.77588139678269152</v>
      </c>
    </row>
    <row r="28" spans="3:17" x14ac:dyDescent="0.35">
      <c r="C28" s="54"/>
      <c r="D28" s="11" t="s">
        <v>56</v>
      </c>
      <c r="E28" s="32">
        <v>8.7451495092444653E-2</v>
      </c>
      <c r="F28" s="32">
        <v>0.63815338963706913</v>
      </c>
      <c r="G28" s="32">
        <v>0.78900365213421597</v>
      </c>
      <c r="I28" s="54"/>
      <c r="J28" s="11" t="s">
        <v>56</v>
      </c>
      <c r="K28" s="32">
        <v>0.23</v>
      </c>
      <c r="M28" s="54"/>
      <c r="N28" s="32">
        <v>0.63815338963706913</v>
      </c>
      <c r="P28" s="54"/>
      <c r="Q28" s="32">
        <v>0.78900365213421597</v>
      </c>
    </row>
    <row r="29" spans="3:17" x14ac:dyDescent="0.35">
      <c r="C29" s="54"/>
      <c r="D29" s="11" t="s">
        <v>59</v>
      </c>
      <c r="E29" s="32">
        <v>9.5650468023092877E-2</v>
      </c>
      <c r="F29" s="32">
        <v>0.67106664424639872</v>
      </c>
      <c r="G29" s="32">
        <v>0.77588139678269152</v>
      </c>
      <c r="I29" s="54"/>
      <c r="J29" s="11" t="s">
        <v>52</v>
      </c>
      <c r="K29" s="32">
        <v>0.21</v>
      </c>
      <c r="M29" s="54"/>
      <c r="N29" s="32">
        <v>0.67106664424639872</v>
      </c>
      <c r="P29" s="54"/>
      <c r="Q29" s="2">
        <v>0.69</v>
      </c>
    </row>
    <row r="30" spans="3:17" x14ac:dyDescent="0.35">
      <c r="C30" s="33"/>
      <c r="D30" s="11"/>
      <c r="E30" s="32"/>
      <c r="F30" s="32"/>
      <c r="G30" s="32"/>
    </row>
    <row r="31" spans="3:17" x14ac:dyDescent="0.35">
      <c r="C31" s="54" t="s">
        <v>166</v>
      </c>
      <c r="D31" s="11" t="s">
        <v>52</v>
      </c>
      <c r="E31" s="32">
        <v>4.8609271523178815E-2</v>
      </c>
      <c r="F31" s="32">
        <v>0.69721854304635755</v>
      </c>
      <c r="G31" s="32">
        <v>0.47430463576158943</v>
      </c>
      <c r="I31" s="54" t="s">
        <v>175</v>
      </c>
      <c r="J31" s="11" t="s">
        <v>59</v>
      </c>
      <c r="K31" s="32">
        <v>0.48</v>
      </c>
      <c r="M31" s="54" t="s">
        <v>166</v>
      </c>
      <c r="N31" s="32">
        <v>0.62</v>
      </c>
      <c r="P31" s="54" t="s">
        <v>165</v>
      </c>
      <c r="Q31" s="32">
        <v>0.76</v>
      </c>
    </row>
    <row r="32" spans="3:17" x14ac:dyDescent="0.35">
      <c r="C32" s="54"/>
      <c r="D32" s="11" t="s">
        <v>56</v>
      </c>
      <c r="E32" s="32">
        <v>4.7500000000000001E-2</v>
      </c>
      <c r="F32" s="32">
        <v>0.69597222222222221</v>
      </c>
      <c r="G32" s="32">
        <v>0.60277777777777775</v>
      </c>
      <c r="I32" s="54"/>
      <c r="J32" s="11" t="s">
        <v>56</v>
      </c>
      <c r="K32" s="32">
        <v>0.22</v>
      </c>
      <c r="M32" s="54"/>
      <c r="N32" s="32">
        <v>0.69597222222222221</v>
      </c>
      <c r="P32" s="54"/>
      <c r="Q32" s="32">
        <v>0.8</v>
      </c>
    </row>
    <row r="33" spans="3:17" x14ac:dyDescent="0.35">
      <c r="C33" s="54"/>
      <c r="D33" s="11" t="s">
        <v>59</v>
      </c>
      <c r="E33" s="32">
        <v>3.5000000000000003E-2</v>
      </c>
      <c r="F33" s="32">
        <v>0.62</v>
      </c>
      <c r="G33" s="32">
        <v>0.64</v>
      </c>
      <c r="I33" s="54"/>
      <c r="J33" s="11" t="s">
        <v>52</v>
      </c>
      <c r="K33" s="32">
        <v>0.24</v>
      </c>
      <c r="M33" s="54"/>
      <c r="N33" s="32">
        <v>0.69597222222222221</v>
      </c>
      <c r="P33" s="54"/>
    </row>
    <row r="34" spans="3:17" x14ac:dyDescent="0.35">
      <c r="C34" s="33"/>
      <c r="D34" s="11"/>
      <c r="E34" s="32"/>
      <c r="F34" s="32"/>
      <c r="G34" s="32"/>
    </row>
    <row r="35" spans="3:17" x14ac:dyDescent="0.35">
      <c r="C35" s="54" t="s">
        <v>167</v>
      </c>
      <c r="D35" s="11" t="s">
        <v>52</v>
      </c>
      <c r="E35" s="32">
        <v>8.3665338645418336E-2</v>
      </c>
      <c r="F35" s="32">
        <v>0.44608233731739705</v>
      </c>
      <c r="G35" s="32">
        <v>0.46520584329349274</v>
      </c>
      <c r="I35" s="54" t="s">
        <v>161</v>
      </c>
      <c r="J35" s="33"/>
      <c r="K35" s="32">
        <v>0.35</v>
      </c>
      <c r="M35" s="54" t="s">
        <v>164</v>
      </c>
      <c r="N35" s="32">
        <v>0.82688865439907699</v>
      </c>
      <c r="P35" s="54" t="s">
        <v>172</v>
      </c>
      <c r="Q35" s="32">
        <v>0.9</v>
      </c>
    </row>
    <row r="36" spans="3:17" x14ac:dyDescent="0.35">
      <c r="C36" s="54"/>
      <c r="D36" s="11" t="s">
        <v>56</v>
      </c>
      <c r="E36" s="32">
        <v>8.5453803238535853E-2</v>
      </c>
      <c r="F36" s="32">
        <v>0.36671656007620085</v>
      </c>
      <c r="G36" s="32">
        <v>0.49571370254456387</v>
      </c>
      <c r="I36" s="54"/>
      <c r="J36" s="33"/>
      <c r="K36" s="32">
        <v>0.31</v>
      </c>
      <c r="M36" s="54"/>
      <c r="N36" s="32">
        <v>0.82688865439907699</v>
      </c>
      <c r="P36" s="54"/>
      <c r="Q36" s="32">
        <v>0.74990103703703714</v>
      </c>
    </row>
    <row r="37" spans="3:17" x14ac:dyDescent="0.35">
      <c r="C37" s="54"/>
      <c r="D37" s="11" t="s">
        <v>59</v>
      </c>
      <c r="E37" s="32">
        <v>8.5453803238535853E-2</v>
      </c>
      <c r="F37" s="32">
        <v>0.36671656007620085</v>
      </c>
      <c r="G37" s="32">
        <v>0.49571370254456387</v>
      </c>
      <c r="I37" s="54"/>
      <c r="J37" s="33"/>
      <c r="K37" s="32">
        <v>0.33</v>
      </c>
      <c r="M37" s="54"/>
      <c r="N37" s="32">
        <v>0.90161210521975754</v>
      </c>
      <c r="P37" s="54"/>
      <c r="Q37" s="2">
        <v>0.85</v>
      </c>
    </row>
    <row r="38" spans="3:17" x14ac:dyDescent="0.35">
      <c r="C38" s="33"/>
      <c r="D38" s="11"/>
      <c r="E38" s="32"/>
      <c r="F38" s="32"/>
      <c r="G38" s="32"/>
    </row>
    <row r="39" spans="3:17" x14ac:dyDescent="0.35">
      <c r="C39" s="54" t="s">
        <v>170</v>
      </c>
      <c r="D39" s="11" t="s">
        <v>52</v>
      </c>
      <c r="E39" s="32"/>
      <c r="F39" s="32"/>
      <c r="G39" s="32"/>
      <c r="I39" s="54" t="s">
        <v>170</v>
      </c>
      <c r="J39" s="11" t="s">
        <v>59</v>
      </c>
      <c r="K39" s="32">
        <v>0.54400564174894217</v>
      </c>
      <c r="M39" s="54" t="s">
        <v>165</v>
      </c>
      <c r="N39" s="32">
        <v>1.1000000000000001</v>
      </c>
      <c r="P39" s="54" t="s">
        <v>161</v>
      </c>
      <c r="Q39" s="32">
        <v>0.87</v>
      </c>
    </row>
    <row r="40" spans="3:17" x14ac:dyDescent="0.35">
      <c r="C40" s="54"/>
      <c r="D40" s="11" t="s">
        <v>56</v>
      </c>
      <c r="E40" s="32">
        <v>0.47161043921069384</v>
      </c>
      <c r="F40" s="32">
        <v>0.57562062380649259</v>
      </c>
      <c r="G40" s="32">
        <v>1.6510502864417567</v>
      </c>
      <c r="I40" s="54"/>
      <c r="J40" s="11" t="s">
        <v>56</v>
      </c>
      <c r="K40" s="32">
        <v>0.47161043921069384</v>
      </c>
      <c r="M40" s="54"/>
      <c r="N40" s="32">
        <v>0.95</v>
      </c>
      <c r="P40" s="54"/>
      <c r="Q40" s="32">
        <v>0.86</v>
      </c>
    </row>
    <row r="41" spans="3:17" x14ac:dyDescent="0.35">
      <c r="C41" s="54"/>
      <c r="D41" s="11" t="s">
        <v>59</v>
      </c>
      <c r="E41" s="32">
        <v>0.54400564174894217</v>
      </c>
      <c r="F41" s="32">
        <v>0.74971791255289144</v>
      </c>
      <c r="G41" s="32">
        <v>1.8786318758815232</v>
      </c>
      <c r="I41" s="54"/>
      <c r="J41" s="11" t="s">
        <v>52</v>
      </c>
      <c r="M41" s="54"/>
      <c r="P41" s="54"/>
      <c r="Q41" s="2">
        <v>1</v>
      </c>
    </row>
    <row r="42" spans="3:17" x14ac:dyDescent="0.35">
      <c r="C42" s="33"/>
      <c r="D42" s="11"/>
      <c r="E42" s="32"/>
      <c r="F42" s="32"/>
      <c r="G42" s="32"/>
    </row>
    <row r="43" spans="3:17" x14ac:dyDescent="0.35">
      <c r="C43" s="54" t="s">
        <v>164</v>
      </c>
      <c r="D43" s="11" t="s">
        <v>52</v>
      </c>
      <c r="E43" s="32">
        <v>0.19674198070421373</v>
      </c>
      <c r="F43" s="32">
        <v>0.90161210521975754</v>
      </c>
      <c r="G43" s="32">
        <v>0.35812484538632799</v>
      </c>
      <c r="I43" s="54" t="s">
        <v>171</v>
      </c>
      <c r="J43" s="33"/>
      <c r="K43" s="32">
        <v>0.38</v>
      </c>
      <c r="M43" s="54" t="s">
        <v>176</v>
      </c>
      <c r="N43" s="32">
        <v>1.0821951219512198</v>
      </c>
      <c r="P43" s="54" t="s">
        <v>177</v>
      </c>
      <c r="Q43" s="32">
        <v>0.88</v>
      </c>
    </row>
    <row r="44" spans="3:17" x14ac:dyDescent="0.35">
      <c r="C44" s="54"/>
      <c r="D44" s="11" t="s">
        <v>56</v>
      </c>
      <c r="E44" s="32">
        <v>0.23992292769931833</v>
      </c>
      <c r="F44" s="32">
        <v>0.82688865439907699</v>
      </c>
      <c r="G44" s="32">
        <v>0.45932405430580253</v>
      </c>
      <c r="I44" s="54"/>
      <c r="J44" s="33"/>
      <c r="K44" s="32">
        <v>0.36</v>
      </c>
      <c r="M44" s="54"/>
      <c r="N44" s="32">
        <v>1.1799358974358976</v>
      </c>
      <c r="P44" s="54"/>
      <c r="Q44" s="32">
        <v>0.96</v>
      </c>
    </row>
    <row r="45" spans="3:17" x14ac:dyDescent="0.35">
      <c r="C45" s="54"/>
      <c r="D45" s="11" t="s">
        <v>59</v>
      </c>
      <c r="E45" s="32">
        <v>0.24008102694828842</v>
      </c>
      <c r="F45" s="32">
        <v>0.82743353969410061</v>
      </c>
      <c r="G45" s="32">
        <v>0.45962672978878366</v>
      </c>
      <c r="I45" s="54"/>
      <c r="J45" s="33"/>
      <c r="K45" s="32">
        <v>0.33</v>
      </c>
      <c r="M45" s="54"/>
      <c r="N45" s="2">
        <v>1.1100000000000001</v>
      </c>
      <c r="P45" s="54"/>
      <c r="Q45" s="2">
        <v>0.89</v>
      </c>
    </row>
    <row r="46" spans="3:17" x14ac:dyDescent="0.35">
      <c r="C46" s="33"/>
      <c r="D46" s="11"/>
      <c r="E46" s="32"/>
      <c r="F46" s="32"/>
      <c r="G46" s="32"/>
    </row>
    <row r="47" spans="3:17" x14ac:dyDescent="0.35">
      <c r="C47" s="54" t="s">
        <v>176</v>
      </c>
      <c r="D47" s="11" t="s">
        <v>52</v>
      </c>
      <c r="E47" s="32">
        <v>1.1472839506172841</v>
      </c>
      <c r="F47" s="32">
        <v>1.1127160493827162</v>
      </c>
      <c r="G47" s="32">
        <v>2.1782098765432103</v>
      </c>
      <c r="I47" s="51" t="s">
        <v>178</v>
      </c>
      <c r="J47" s="11" t="s">
        <v>59</v>
      </c>
      <c r="K47" s="32">
        <v>0.28999999999999998</v>
      </c>
      <c r="M47" s="51" t="s">
        <v>178</v>
      </c>
      <c r="N47" s="32">
        <v>1.38</v>
      </c>
      <c r="P47" s="54" t="s">
        <v>174</v>
      </c>
      <c r="Q47" s="32">
        <v>0.81957701149425299</v>
      </c>
    </row>
    <row r="48" spans="3:17" x14ac:dyDescent="0.35">
      <c r="C48" s="54"/>
      <c r="D48" s="11" t="s">
        <v>56</v>
      </c>
      <c r="E48" s="32">
        <v>0.99352564102564123</v>
      </c>
      <c r="F48" s="32">
        <v>1.1799358974358976</v>
      </c>
      <c r="G48" s="32">
        <v>2.535769230769231</v>
      </c>
      <c r="I48" s="52"/>
      <c r="J48" s="11" t="s">
        <v>56</v>
      </c>
      <c r="K48" s="32">
        <v>0.45</v>
      </c>
      <c r="M48" s="52"/>
      <c r="N48" s="32">
        <v>1.01</v>
      </c>
      <c r="P48" s="54"/>
      <c r="Q48" s="32">
        <v>1.0650990307627477</v>
      </c>
    </row>
    <row r="49" spans="3:17" x14ac:dyDescent="0.35">
      <c r="C49" s="54"/>
      <c r="D49" s="11" t="s">
        <v>59</v>
      </c>
      <c r="E49" s="32">
        <v>0.96182926829268311</v>
      </c>
      <c r="F49" s="32">
        <v>1.0821951219512198</v>
      </c>
      <c r="G49" s="32">
        <v>2.4804878048780492</v>
      </c>
      <c r="I49" s="53"/>
      <c r="J49" s="11" t="s">
        <v>52</v>
      </c>
      <c r="K49" s="32">
        <v>0.38</v>
      </c>
      <c r="M49" s="53"/>
      <c r="N49" s="2">
        <v>0.79</v>
      </c>
      <c r="P49" s="54"/>
    </row>
    <row r="50" spans="3:17" x14ac:dyDescent="0.35">
      <c r="C50" s="33"/>
      <c r="D50" s="11"/>
      <c r="E50" s="32"/>
      <c r="F50" s="32"/>
      <c r="G50" s="32"/>
    </row>
    <row r="51" spans="3:17" x14ac:dyDescent="0.35">
      <c r="C51" s="54" t="s">
        <v>163</v>
      </c>
      <c r="D51" s="11" t="s">
        <v>52</v>
      </c>
      <c r="E51" s="32"/>
      <c r="F51" s="32"/>
      <c r="G51" s="32"/>
      <c r="I51" s="54" t="s">
        <v>163</v>
      </c>
      <c r="J51" s="11" t="s">
        <v>59</v>
      </c>
      <c r="K51" s="32">
        <v>0.53</v>
      </c>
      <c r="M51" s="54" t="s">
        <v>179</v>
      </c>
      <c r="N51" s="32">
        <v>1.3300970873786406</v>
      </c>
      <c r="P51" s="54" t="s">
        <v>175</v>
      </c>
      <c r="Q51" s="32">
        <v>1.07</v>
      </c>
    </row>
    <row r="52" spans="3:17" x14ac:dyDescent="0.35">
      <c r="C52" s="54"/>
      <c r="D52" s="11" t="s">
        <v>56</v>
      </c>
      <c r="E52" s="32">
        <v>0.56999999999999995</v>
      </c>
      <c r="F52" s="32">
        <v>0.28000000000000003</v>
      </c>
      <c r="G52" s="32">
        <v>0.66</v>
      </c>
      <c r="I52" s="54"/>
      <c r="J52" s="11" t="s">
        <v>56</v>
      </c>
      <c r="K52" s="32">
        <v>0.56999999999999995</v>
      </c>
      <c r="M52" s="54"/>
      <c r="N52" s="32">
        <v>1.2452688172043012</v>
      </c>
      <c r="P52" s="54"/>
      <c r="Q52" s="32">
        <v>0.93</v>
      </c>
    </row>
    <row r="53" spans="3:17" x14ac:dyDescent="0.35">
      <c r="C53" s="54"/>
      <c r="D53" s="11" t="s">
        <v>59</v>
      </c>
      <c r="E53" s="32">
        <v>0.53</v>
      </c>
      <c r="F53" s="32">
        <v>0.27</v>
      </c>
      <c r="G53" s="32">
        <v>0.56000000000000005</v>
      </c>
      <c r="I53" s="54"/>
      <c r="J53" s="11" t="s">
        <v>52</v>
      </c>
      <c r="M53" s="54"/>
      <c r="P53" s="54"/>
      <c r="Q53" s="2">
        <v>0.95</v>
      </c>
    </row>
    <row r="54" spans="3:17" x14ac:dyDescent="0.35">
      <c r="C54" s="33"/>
      <c r="D54" s="11"/>
      <c r="E54" s="32"/>
      <c r="F54" s="32"/>
      <c r="G54" s="32"/>
    </row>
    <row r="55" spans="3:17" x14ac:dyDescent="0.35">
      <c r="C55" s="54" t="s">
        <v>162</v>
      </c>
      <c r="D55" s="11" t="s">
        <v>52</v>
      </c>
      <c r="E55" s="32">
        <v>1.6513969008030767E-2</v>
      </c>
      <c r="F55" s="32">
        <v>0.32513290351770169</v>
      </c>
      <c r="G55" s="32">
        <v>0.48201560909399394</v>
      </c>
      <c r="I55" s="54" t="s">
        <v>165</v>
      </c>
      <c r="J55" s="33"/>
      <c r="K55" s="32">
        <v>0.57999999999999996</v>
      </c>
      <c r="M55" s="54" t="s">
        <v>175</v>
      </c>
      <c r="N55" s="32">
        <v>0.53541666666666676</v>
      </c>
      <c r="P55" s="57" t="s">
        <v>179</v>
      </c>
      <c r="Q55" s="32">
        <v>1.2524271844660193</v>
      </c>
    </row>
    <row r="56" spans="3:17" x14ac:dyDescent="0.35">
      <c r="C56" s="54"/>
      <c r="D56" s="11" t="s">
        <v>56</v>
      </c>
      <c r="E56" s="32">
        <v>1.4E-2</v>
      </c>
      <c r="F56" s="32">
        <v>0.27600000000000002</v>
      </c>
      <c r="G56" s="32">
        <v>0.42599999999999999</v>
      </c>
      <c r="I56" s="54"/>
      <c r="J56" s="33"/>
      <c r="K56" s="32">
        <v>0.56000000000000005</v>
      </c>
      <c r="M56" s="54"/>
      <c r="N56" s="32">
        <v>2.2472375690607733</v>
      </c>
      <c r="P56" s="50"/>
      <c r="Q56" s="2">
        <v>1.06</v>
      </c>
    </row>
    <row r="57" spans="3:17" x14ac:dyDescent="0.35">
      <c r="C57" s="54"/>
      <c r="D57" s="11" t="s">
        <v>59</v>
      </c>
      <c r="E57" s="32">
        <v>1.6E-2</v>
      </c>
      <c r="F57" s="32">
        <v>0.28699999999999998</v>
      </c>
      <c r="G57" s="32">
        <v>0.42199999999999999</v>
      </c>
      <c r="I57" s="54"/>
      <c r="J57" s="36"/>
      <c r="M57" s="54"/>
      <c r="N57" s="2">
        <v>1.2</v>
      </c>
      <c r="P57" s="50"/>
    </row>
    <row r="58" spans="3:17" x14ac:dyDescent="0.35">
      <c r="C58" s="33"/>
      <c r="D58" s="11"/>
      <c r="E58" s="32"/>
      <c r="F58" s="32"/>
      <c r="G58" s="32"/>
    </row>
    <row r="59" spans="3:17" x14ac:dyDescent="0.35">
      <c r="C59" s="54" t="s">
        <v>175</v>
      </c>
      <c r="D59" s="11" t="s">
        <v>52</v>
      </c>
      <c r="E59" s="32">
        <v>0.24</v>
      </c>
      <c r="F59" s="32">
        <v>1.2</v>
      </c>
      <c r="G59" s="32">
        <v>0.95</v>
      </c>
      <c r="I59" s="54" t="s">
        <v>180</v>
      </c>
      <c r="J59" s="33"/>
      <c r="K59" s="32">
        <v>0.51236979166666674</v>
      </c>
      <c r="M59" s="54" t="s">
        <v>180</v>
      </c>
      <c r="N59" s="32">
        <v>0.53541666666666676</v>
      </c>
      <c r="P59" s="51" t="s">
        <v>178</v>
      </c>
      <c r="Q59">
        <v>1.3</v>
      </c>
    </row>
    <row r="60" spans="3:17" x14ac:dyDescent="0.35">
      <c r="C60" s="54"/>
      <c r="D60" s="11" t="s">
        <v>56</v>
      </c>
      <c r="E60" s="32">
        <v>0.22</v>
      </c>
      <c r="F60" s="32">
        <v>2.2472375690607733</v>
      </c>
      <c r="G60" s="32">
        <v>0.93</v>
      </c>
      <c r="I60" s="54"/>
      <c r="J60" s="33"/>
      <c r="K60" s="32">
        <v>0.66118784530386732</v>
      </c>
      <c r="M60" s="54"/>
      <c r="N60" s="32">
        <v>2.2472375690607733</v>
      </c>
      <c r="P60" s="52"/>
      <c r="Q60" s="32">
        <v>0.89</v>
      </c>
    </row>
    <row r="61" spans="3:17" x14ac:dyDescent="0.35">
      <c r="C61" s="54"/>
      <c r="D61" s="11" t="s">
        <v>59</v>
      </c>
      <c r="E61" s="32">
        <v>0.48</v>
      </c>
      <c r="F61" s="32">
        <v>0.53541666666666676</v>
      </c>
      <c r="G61" s="32">
        <v>1.07</v>
      </c>
      <c r="I61" s="54"/>
      <c r="J61" s="36"/>
      <c r="M61" s="54"/>
      <c r="P61" s="53"/>
      <c r="Q61" s="32">
        <v>0.74</v>
      </c>
    </row>
    <row r="62" spans="3:17" x14ac:dyDescent="0.35">
      <c r="C62" s="33"/>
      <c r="D62" s="11"/>
      <c r="E62" s="32"/>
      <c r="F62" s="32"/>
      <c r="G62" s="32"/>
    </row>
    <row r="63" spans="3:17" x14ac:dyDescent="0.35">
      <c r="C63" s="54" t="s">
        <v>173</v>
      </c>
      <c r="D63" s="11" t="s">
        <v>52</v>
      </c>
      <c r="E63" s="32"/>
      <c r="F63" s="32"/>
      <c r="G63" s="32"/>
      <c r="I63" s="54" t="s">
        <v>168</v>
      </c>
      <c r="J63" s="33"/>
      <c r="K63" s="32">
        <v>0.6</v>
      </c>
      <c r="M63" s="54" t="s">
        <v>171</v>
      </c>
      <c r="N63" s="32">
        <v>1.66</v>
      </c>
      <c r="P63" s="54" t="s">
        <v>171</v>
      </c>
      <c r="Q63">
        <v>1.19</v>
      </c>
    </row>
    <row r="64" spans="3:17" x14ac:dyDescent="0.35">
      <c r="C64" s="54"/>
      <c r="D64" s="11" t="s">
        <v>56</v>
      </c>
      <c r="E64" s="32">
        <v>0.23100000000000001</v>
      </c>
      <c r="F64" s="32">
        <v>0.51600000000000001</v>
      </c>
      <c r="G64" s="32">
        <v>0.63</v>
      </c>
      <c r="I64" s="54"/>
      <c r="J64" s="33"/>
      <c r="K64" s="32">
        <v>0.59</v>
      </c>
      <c r="M64" s="54"/>
      <c r="N64" s="32">
        <v>1.51</v>
      </c>
      <c r="P64" s="54"/>
      <c r="Q64" s="32">
        <v>1.0900000000000001</v>
      </c>
    </row>
    <row r="65" spans="3:17" x14ac:dyDescent="0.35">
      <c r="C65" s="54"/>
      <c r="D65" s="11" t="s">
        <v>59</v>
      </c>
      <c r="E65" s="32">
        <v>0.22900000000000001</v>
      </c>
      <c r="F65" s="32">
        <v>0.53600000000000003</v>
      </c>
      <c r="G65" s="32">
        <v>0.67100000000000004</v>
      </c>
      <c r="I65" s="54"/>
      <c r="J65" s="36"/>
      <c r="M65" s="54"/>
      <c r="N65" s="2">
        <v>1.34</v>
      </c>
      <c r="P65" s="54"/>
      <c r="Q65" s="32">
        <v>1.03</v>
      </c>
    </row>
    <row r="66" spans="3:17" x14ac:dyDescent="0.35">
      <c r="C66" s="33"/>
      <c r="D66" s="11"/>
      <c r="E66" s="32"/>
      <c r="F66" s="32"/>
      <c r="G66" s="32"/>
    </row>
    <row r="67" spans="3:17" x14ac:dyDescent="0.35">
      <c r="C67" s="54" t="s">
        <v>180</v>
      </c>
      <c r="D67" s="11" t="s">
        <v>16</v>
      </c>
      <c r="E67" s="32"/>
      <c r="F67" s="32"/>
      <c r="G67" s="32"/>
      <c r="I67" s="54" t="s">
        <v>174</v>
      </c>
      <c r="J67" s="33"/>
      <c r="K67" s="32">
        <v>0.60380275862068966</v>
      </c>
      <c r="M67" s="54" t="s">
        <v>174</v>
      </c>
      <c r="N67" s="32">
        <v>1.4124432183908047</v>
      </c>
      <c r="P67" s="54" t="s">
        <v>170</v>
      </c>
      <c r="Q67" s="32">
        <v>1.8786318758815232</v>
      </c>
    </row>
    <row r="68" spans="3:17" x14ac:dyDescent="0.35">
      <c r="C68" s="54"/>
      <c r="D68" s="11" t="s">
        <v>18</v>
      </c>
      <c r="E68" s="32">
        <v>0.66118784530386732</v>
      </c>
      <c r="F68" s="32">
        <v>2.2472375690607733</v>
      </c>
      <c r="G68" s="32">
        <v>1.6085635359116022</v>
      </c>
      <c r="I68" s="54"/>
      <c r="J68" s="33"/>
      <c r="K68" s="32">
        <v>0.67487147071217868</v>
      </c>
      <c r="M68" s="54"/>
      <c r="N68" s="32">
        <v>1.9303371260008426</v>
      </c>
      <c r="P68" s="54"/>
      <c r="Q68" s="32">
        <v>1.6510502864417567</v>
      </c>
    </row>
    <row r="69" spans="3:17" x14ac:dyDescent="0.35">
      <c r="C69" s="54"/>
      <c r="D69" s="11" t="s">
        <v>21</v>
      </c>
      <c r="E69" s="32">
        <v>0.51236979166666674</v>
      </c>
      <c r="F69" s="32">
        <v>0.53541666666666676</v>
      </c>
      <c r="G69" s="32">
        <v>0.75533854166666681</v>
      </c>
      <c r="I69" s="54"/>
      <c r="J69" s="36"/>
      <c r="M69" s="54"/>
      <c r="P69" s="54"/>
    </row>
    <row r="70" spans="3:17" x14ac:dyDescent="0.35">
      <c r="C70" s="33"/>
      <c r="D70" s="11"/>
      <c r="E70" s="32"/>
      <c r="F70" s="32"/>
      <c r="G70" s="32"/>
    </row>
    <row r="71" spans="3:17" x14ac:dyDescent="0.35">
      <c r="C71" s="54" t="s">
        <v>177</v>
      </c>
      <c r="D71" s="11" t="s">
        <v>52</v>
      </c>
      <c r="E71" s="32">
        <v>1.05</v>
      </c>
      <c r="F71" s="32">
        <v>1.89</v>
      </c>
      <c r="G71" s="32">
        <v>0.89</v>
      </c>
      <c r="I71" s="54" t="s">
        <v>179</v>
      </c>
      <c r="J71" s="33"/>
      <c r="K71" s="32">
        <v>0.31</v>
      </c>
      <c r="M71" s="54" t="s">
        <v>161</v>
      </c>
      <c r="N71" s="32">
        <v>1.63</v>
      </c>
      <c r="P71" s="54" t="s">
        <v>180</v>
      </c>
      <c r="Q71" s="32">
        <v>0.75533854166666681</v>
      </c>
    </row>
    <row r="72" spans="3:17" x14ac:dyDescent="0.35">
      <c r="C72" s="54"/>
      <c r="D72" s="11" t="s">
        <v>56</v>
      </c>
      <c r="E72" s="32">
        <v>1.1499999999999999</v>
      </c>
      <c r="F72" s="32">
        <v>1.97</v>
      </c>
      <c r="G72" s="32">
        <v>0.96</v>
      </c>
      <c r="I72" s="54"/>
      <c r="J72" s="33"/>
      <c r="K72" s="32">
        <v>0.84</v>
      </c>
      <c r="M72" s="54"/>
      <c r="N72" s="32">
        <v>1.62</v>
      </c>
      <c r="P72" s="54"/>
      <c r="Q72" s="32">
        <v>1.6085635359116022</v>
      </c>
    </row>
    <row r="73" spans="3:17" x14ac:dyDescent="0.35">
      <c r="C73" s="54"/>
      <c r="D73" s="11" t="s">
        <v>59</v>
      </c>
      <c r="E73" s="32">
        <v>1.24</v>
      </c>
      <c r="F73" s="32">
        <v>2.08</v>
      </c>
      <c r="G73" s="32">
        <v>0.88</v>
      </c>
      <c r="M73" s="54"/>
      <c r="N73" s="2">
        <v>2.2999999999999998</v>
      </c>
      <c r="P73" s="54"/>
    </row>
    <row r="74" spans="3:17" x14ac:dyDescent="0.35">
      <c r="C74" s="35"/>
      <c r="D74" s="11"/>
      <c r="E74" s="32"/>
      <c r="F74" s="32"/>
      <c r="G74" s="32"/>
      <c r="I74" s="54" t="s">
        <v>176</v>
      </c>
      <c r="J74" s="11" t="s">
        <v>59</v>
      </c>
      <c r="K74" s="32">
        <v>0.96</v>
      </c>
    </row>
    <row r="75" spans="3:17" x14ac:dyDescent="0.35">
      <c r="C75" s="51" t="s">
        <v>178</v>
      </c>
      <c r="D75" s="11" t="s">
        <v>52</v>
      </c>
      <c r="E75" s="32">
        <v>0.38</v>
      </c>
      <c r="F75" s="32">
        <v>0.79</v>
      </c>
      <c r="G75" s="32">
        <v>0.74</v>
      </c>
      <c r="I75" s="54"/>
      <c r="J75" s="11" t="s">
        <v>56</v>
      </c>
      <c r="K75" s="32">
        <v>0.99352564102564123</v>
      </c>
      <c r="M75" s="54" t="s">
        <v>177</v>
      </c>
      <c r="N75" s="32">
        <v>2.08</v>
      </c>
      <c r="P75" s="54" t="s">
        <v>168</v>
      </c>
      <c r="Q75" s="32">
        <v>1.95</v>
      </c>
    </row>
    <row r="76" spans="3:17" x14ac:dyDescent="0.35">
      <c r="C76" s="52"/>
      <c r="D76" s="11" t="s">
        <v>56</v>
      </c>
      <c r="E76" s="32">
        <v>0.45</v>
      </c>
      <c r="F76" s="32">
        <v>1.01</v>
      </c>
      <c r="G76" s="32">
        <v>0.89</v>
      </c>
      <c r="I76" s="54"/>
      <c r="J76" s="11" t="s">
        <v>52</v>
      </c>
      <c r="K76" s="32">
        <v>1.1499999999999999</v>
      </c>
      <c r="M76" s="54"/>
      <c r="N76" s="32">
        <v>1.97</v>
      </c>
      <c r="P76" s="54"/>
      <c r="Q76" s="32">
        <v>1.79</v>
      </c>
    </row>
    <row r="77" spans="3:17" x14ac:dyDescent="0.35">
      <c r="C77" s="53"/>
      <c r="D77" s="11" t="s">
        <v>59</v>
      </c>
      <c r="E77" s="32">
        <v>0.28999999999999998</v>
      </c>
      <c r="F77" s="32">
        <v>1.38</v>
      </c>
      <c r="G77" s="32">
        <v>1.3</v>
      </c>
      <c r="M77" s="54"/>
      <c r="N77" s="2">
        <v>1.89</v>
      </c>
      <c r="P77" s="54"/>
    </row>
    <row r="78" spans="3:17" x14ac:dyDescent="0.35">
      <c r="C78" s="34"/>
      <c r="D78" s="11"/>
      <c r="E78" s="32"/>
      <c r="F78" s="32"/>
      <c r="G78" s="32"/>
      <c r="I78" s="54" t="s">
        <v>177</v>
      </c>
      <c r="J78" s="11" t="s">
        <v>59</v>
      </c>
      <c r="K78" s="32">
        <v>1.24</v>
      </c>
    </row>
    <row r="79" spans="3:17" x14ac:dyDescent="0.35">
      <c r="C79" s="54" t="s">
        <v>172</v>
      </c>
      <c r="D79" s="11" t="s">
        <v>52</v>
      </c>
      <c r="E79" s="32">
        <v>5.7842750373692076E-2</v>
      </c>
      <c r="F79" s="32">
        <v>0.46140717488789235</v>
      </c>
      <c r="G79" s="32">
        <v>0.84831958146487285</v>
      </c>
      <c r="I79" s="54"/>
      <c r="J79" s="11" t="s">
        <v>56</v>
      </c>
      <c r="K79" s="32">
        <v>1.1499999999999999</v>
      </c>
      <c r="M79" s="54" t="s">
        <v>168</v>
      </c>
      <c r="N79" s="32">
        <v>3.7</v>
      </c>
      <c r="P79" s="51" t="s">
        <v>176</v>
      </c>
      <c r="Q79" s="32">
        <v>2.4804878048780492</v>
      </c>
    </row>
    <row r="80" spans="3:17" x14ac:dyDescent="0.35">
      <c r="C80" s="54"/>
      <c r="D80" s="11" t="s">
        <v>56</v>
      </c>
      <c r="E80" s="32">
        <v>6.1804296296296295E-2</v>
      </c>
      <c r="F80" s="32">
        <v>0.43922074074074074</v>
      </c>
      <c r="G80" s="32">
        <v>0.74990103703703714</v>
      </c>
      <c r="I80" s="54"/>
      <c r="J80" s="11" t="s">
        <v>52</v>
      </c>
      <c r="K80" s="32">
        <v>1.05</v>
      </c>
      <c r="M80" s="54"/>
      <c r="N80" s="32">
        <v>3.88</v>
      </c>
      <c r="P80" s="52"/>
      <c r="Q80" s="32">
        <v>2.535769230769231</v>
      </c>
    </row>
    <row r="81" spans="3:17" x14ac:dyDescent="0.35">
      <c r="C81" s="54"/>
      <c r="D81" s="11" t="s">
        <v>59</v>
      </c>
      <c r="E81" s="32">
        <v>0.31</v>
      </c>
      <c r="F81" s="32">
        <v>0.6</v>
      </c>
      <c r="G81" s="32">
        <v>0.9</v>
      </c>
      <c r="M81" s="54"/>
      <c r="P81" s="53"/>
      <c r="Q81" s="2">
        <v>2.1800000000000002</v>
      </c>
    </row>
    <row r="82" spans="3:17" x14ac:dyDescent="0.35">
      <c r="C82" s="33"/>
      <c r="D82" s="11"/>
      <c r="E82" s="32"/>
      <c r="F82" s="32"/>
      <c r="G82" s="32"/>
    </row>
    <row r="83" spans="3:17" x14ac:dyDescent="0.35">
      <c r="C83" s="57" t="s">
        <v>179</v>
      </c>
      <c r="D83" s="11" t="s">
        <v>18</v>
      </c>
      <c r="E83" s="32">
        <v>0.84354838709677415</v>
      </c>
      <c r="F83" s="32">
        <v>1.2452688172043012</v>
      </c>
      <c r="G83" s="32">
        <v>1.0621505376344085</v>
      </c>
    </row>
    <row r="84" spans="3:17" x14ac:dyDescent="0.35">
      <c r="C84" s="50"/>
      <c r="D84" s="11" t="s">
        <v>21</v>
      </c>
      <c r="E84" s="32">
        <v>0.31067961165048541</v>
      </c>
      <c r="F84" s="32">
        <v>1.3300970873786406</v>
      </c>
      <c r="G84" s="32">
        <v>1.2524271844660193</v>
      </c>
    </row>
    <row r="85" spans="3:17" x14ac:dyDescent="0.35">
      <c r="C85" s="50"/>
      <c r="I85" s="55" t="s">
        <v>181</v>
      </c>
      <c r="J85" s="11" t="s">
        <v>59</v>
      </c>
      <c r="K85" s="32">
        <v>1.6513969008030767E-2</v>
      </c>
    </row>
    <row r="86" spans="3:17" x14ac:dyDescent="0.35">
      <c r="I86" s="55"/>
      <c r="J86" s="11" t="s">
        <v>56</v>
      </c>
      <c r="K86" s="32">
        <v>1.4E-2</v>
      </c>
    </row>
    <row r="87" spans="3:17" x14ac:dyDescent="0.35">
      <c r="I87" s="55"/>
      <c r="J87" s="11" t="s">
        <v>52</v>
      </c>
      <c r="K87" s="32">
        <v>1.6E-2</v>
      </c>
    </row>
    <row r="88" spans="3:17" x14ac:dyDescent="0.35">
      <c r="I88" s="41"/>
    </row>
    <row r="89" spans="3:17" x14ac:dyDescent="0.35">
      <c r="C89" s="56" t="s">
        <v>109</v>
      </c>
      <c r="D89" s="2">
        <v>0.42199999999999999</v>
      </c>
      <c r="I89" s="55" t="s">
        <v>51</v>
      </c>
      <c r="J89" s="11" t="s">
        <v>59</v>
      </c>
      <c r="K89" s="32">
        <v>0.1</v>
      </c>
    </row>
    <row r="90" spans="3:17" x14ac:dyDescent="0.35">
      <c r="C90" s="56"/>
      <c r="D90" s="2">
        <v>0.42599999999999999</v>
      </c>
      <c r="G90" s="47">
        <v>1.6513969008030767E-2</v>
      </c>
      <c r="I90" s="55"/>
      <c r="J90" s="11" t="s">
        <v>56</v>
      </c>
      <c r="K90" s="32">
        <v>8.7451495092444653E-2</v>
      </c>
      <c r="M90" s="54" t="s">
        <v>172</v>
      </c>
      <c r="N90" s="11" t="s">
        <v>59</v>
      </c>
      <c r="O90" s="32">
        <v>0.31</v>
      </c>
    </row>
    <row r="91" spans="3:17" x14ac:dyDescent="0.35">
      <c r="C91" s="56"/>
      <c r="D91" s="2">
        <v>0.48</v>
      </c>
      <c r="G91" s="47">
        <v>1.4E-2</v>
      </c>
      <c r="I91" s="55"/>
      <c r="J91" s="11" t="s">
        <v>52</v>
      </c>
      <c r="K91" s="32">
        <v>0.08</v>
      </c>
      <c r="M91" s="54"/>
      <c r="N91" s="11" t="s">
        <v>56</v>
      </c>
      <c r="O91" s="32">
        <v>0.23</v>
      </c>
    </row>
    <row r="92" spans="3:17" x14ac:dyDescent="0.35">
      <c r="C92" s="41"/>
      <c r="G92" s="47">
        <v>1.6E-2</v>
      </c>
      <c r="I92" s="41"/>
      <c r="M92" s="54"/>
      <c r="N92" s="11" t="s">
        <v>52</v>
      </c>
      <c r="O92" s="32">
        <v>0.21</v>
      </c>
    </row>
    <row r="93" spans="3:17" x14ac:dyDescent="0.35">
      <c r="C93" s="56" t="s">
        <v>64</v>
      </c>
      <c r="D93" s="2">
        <v>0.64</v>
      </c>
      <c r="F93" s="41" t="s">
        <v>181</v>
      </c>
      <c r="I93" s="55" t="s">
        <v>146</v>
      </c>
      <c r="J93" s="11" t="s">
        <v>59</v>
      </c>
      <c r="K93" s="32">
        <v>0.31</v>
      </c>
    </row>
    <row r="94" spans="3:17" x14ac:dyDescent="0.35">
      <c r="C94" s="56"/>
      <c r="D94" s="2">
        <v>0.60277777777777775</v>
      </c>
      <c r="G94" s="2">
        <v>0.1</v>
      </c>
      <c r="I94" s="55"/>
      <c r="J94" s="11" t="s">
        <v>56</v>
      </c>
      <c r="K94" s="32">
        <v>0.23</v>
      </c>
    </row>
    <row r="95" spans="3:17" x14ac:dyDescent="0.35">
      <c r="C95" s="56"/>
      <c r="D95" s="2">
        <v>0.47</v>
      </c>
      <c r="G95" s="2">
        <v>8.7451495092444653E-2</v>
      </c>
      <c r="I95" s="55"/>
      <c r="J95" s="11" t="s">
        <v>52</v>
      </c>
      <c r="K95" s="32">
        <v>0.21</v>
      </c>
    </row>
    <row r="96" spans="3:17" x14ac:dyDescent="0.35">
      <c r="C96" s="41"/>
      <c r="D96" s="2"/>
      <c r="G96" s="2">
        <v>0.08</v>
      </c>
      <c r="I96" s="41"/>
      <c r="M96" s="54" t="s">
        <v>169</v>
      </c>
      <c r="N96" s="11" t="s">
        <v>59</v>
      </c>
      <c r="O96" s="32">
        <v>0.1</v>
      </c>
    </row>
    <row r="97" spans="3:15" x14ac:dyDescent="0.35">
      <c r="C97" s="56" t="s">
        <v>15</v>
      </c>
      <c r="D97" s="2">
        <v>0.87</v>
      </c>
      <c r="F97" s="41" t="s">
        <v>51</v>
      </c>
      <c r="G97" s="2"/>
      <c r="I97" s="55" t="s">
        <v>15</v>
      </c>
      <c r="J97" s="33"/>
      <c r="K97" s="32">
        <v>0.35</v>
      </c>
      <c r="M97" s="54"/>
      <c r="N97" s="11" t="s">
        <v>56</v>
      </c>
      <c r="O97" s="32">
        <v>8.7451495092444653E-2</v>
      </c>
    </row>
    <row r="98" spans="3:15" x14ac:dyDescent="0.35">
      <c r="C98" s="56"/>
      <c r="D98" s="2">
        <v>0.86</v>
      </c>
      <c r="G98" s="2">
        <v>0.35</v>
      </c>
      <c r="I98" s="55"/>
      <c r="J98" s="33"/>
      <c r="K98" s="32">
        <v>0.31</v>
      </c>
      <c r="M98" s="54"/>
      <c r="N98" s="11" t="s">
        <v>52</v>
      </c>
      <c r="O98" s="32">
        <v>0.08</v>
      </c>
    </row>
    <row r="99" spans="3:15" x14ac:dyDescent="0.35">
      <c r="C99" s="56"/>
      <c r="D99">
        <v>1</v>
      </c>
      <c r="G99" s="2">
        <v>0.31</v>
      </c>
      <c r="I99" s="55"/>
      <c r="J99" s="33"/>
      <c r="K99" s="32">
        <v>0.33</v>
      </c>
    </row>
    <row r="100" spans="3:15" x14ac:dyDescent="0.35">
      <c r="C100" s="41"/>
      <c r="G100">
        <v>0.33</v>
      </c>
      <c r="I100" s="41"/>
      <c r="M100" s="54" t="s">
        <v>161</v>
      </c>
      <c r="N100" s="33"/>
      <c r="O100" s="32">
        <v>0.35</v>
      </c>
    </row>
    <row r="101" spans="3:15" x14ac:dyDescent="0.35">
      <c r="F101" s="41" t="s">
        <v>15</v>
      </c>
      <c r="I101" s="55" t="s">
        <v>81</v>
      </c>
      <c r="J101" s="11" t="s">
        <v>59</v>
      </c>
      <c r="K101" s="32">
        <v>0.54400564174894217</v>
      </c>
      <c r="M101" s="54"/>
      <c r="N101" s="33"/>
      <c r="O101" s="32">
        <v>0.31</v>
      </c>
    </row>
    <row r="102" spans="3:15" x14ac:dyDescent="0.35">
      <c r="D102" s="2">
        <v>0.27</v>
      </c>
      <c r="I102" s="55"/>
      <c r="J102" s="11" t="s">
        <v>56</v>
      </c>
      <c r="K102" s="32">
        <v>0.47161043921069384</v>
      </c>
      <c r="M102" s="54"/>
      <c r="N102" s="33"/>
      <c r="O102" s="32">
        <v>0.33</v>
      </c>
    </row>
    <row r="103" spans="3:15" x14ac:dyDescent="0.35">
      <c r="C103" t="s">
        <v>103</v>
      </c>
      <c r="D103" s="2">
        <v>0.28000000000000003</v>
      </c>
      <c r="I103" s="55"/>
      <c r="J103" s="11" t="s">
        <v>52</v>
      </c>
    </row>
    <row r="104" spans="3:15" x14ac:dyDescent="0.35">
      <c r="D104" s="2"/>
      <c r="I104" s="41"/>
    </row>
    <row r="105" spans="3:15" x14ac:dyDescent="0.35">
      <c r="D105" s="2">
        <v>0.67157387580299788</v>
      </c>
      <c r="I105" s="55" t="s">
        <v>36</v>
      </c>
      <c r="J105" s="33"/>
      <c r="K105" s="32">
        <v>0.38</v>
      </c>
    </row>
    <row r="106" spans="3:15" x14ac:dyDescent="0.35">
      <c r="D106" s="2">
        <v>0.63815338963706913</v>
      </c>
      <c r="I106" s="55"/>
      <c r="J106" s="33"/>
      <c r="K106" s="32">
        <v>0.36</v>
      </c>
    </row>
    <row r="107" spans="3:15" x14ac:dyDescent="0.35">
      <c r="C107" s="36" t="s">
        <v>51</v>
      </c>
      <c r="D107" s="2">
        <v>0.67106664424639872</v>
      </c>
      <c r="I107" s="55"/>
      <c r="J107" s="33"/>
      <c r="K107" s="32">
        <v>0.33</v>
      </c>
    </row>
    <row r="108" spans="3:15" x14ac:dyDescent="0.35">
      <c r="D108" s="2"/>
      <c r="I108" s="41"/>
    </row>
    <row r="109" spans="3:15" x14ac:dyDescent="0.35">
      <c r="D109" s="2">
        <v>1.63</v>
      </c>
      <c r="I109" s="58" t="s">
        <v>140</v>
      </c>
      <c r="J109" s="11" t="s">
        <v>59</v>
      </c>
      <c r="K109" s="32">
        <v>0.28999999999999998</v>
      </c>
    </row>
    <row r="110" spans="3:15" x14ac:dyDescent="0.35">
      <c r="D110" s="2">
        <v>1.62</v>
      </c>
      <c r="I110" s="59"/>
      <c r="J110" s="11" t="s">
        <v>56</v>
      </c>
      <c r="K110" s="32">
        <v>0.45</v>
      </c>
    </row>
    <row r="111" spans="3:15" x14ac:dyDescent="0.35">
      <c r="C111" s="36" t="s">
        <v>15</v>
      </c>
      <c r="D111">
        <v>2.2999999999999998</v>
      </c>
      <c r="I111" s="60"/>
      <c r="J111" s="11" t="s">
        <v>52</v>
      </c>
      <c r="K111" s="32">
        <v>0.38</v>
      </c>
    </row>
    <row r="113" spans="3:11" x14ac:dyDescent="0.35">
      <c r="I113" s="55" t="s">
        <v>95</v>
      </c>
      <c r="J113" s="11" t="s">
        <v>59</v>
      </c>
      <c r="K113" s="32">
        <v>0.96</v>
      </c>
    </row>
    <row r="114" spans="3:11" x14ac:dyDescent="0.35">
      <c r="C114" t="s">
        <v>182</v>
      </c>
      <c r="I114" s="55"/>
      <c r="J114" s="11" t="s">
        <v>56</v>
      </c>
      <c r="K114" s="32">
        <v>0.99352564102564123</v>
      </c>
    </row>
    <row r="115" spans="3:11" x14ac:dyDescent="0.35">
      <c r="C115" s="48" t="s">
        <v>183</v>
      </c>
      <c r="D115" s="48" t="s">
        <v>184</v>
      </c>
      <c r="I115" s="55"/>
      <c r="J115" s="11" t="s">
        <v>52</v>
      </c>
      <c r="K115" s="32">
        <v>1.1499999999999999</v>
      </c>
    </row>
    <row r="116" spans="3:11" x14ac:dyDescent="0.35">
      <c r="C116" s="50" t="s">
        <v>185</v>
      </c>
      <c r="D116" t="s">
        <v>186</v>
      </c>
    </row>
    <row r="117" spans="3:11" x14ac:dyDescent="0.35">
      <c r="C117" s="50"/>
      <c r="D117" t="s">
        <v>187</v>
      </c>
    </row>
    <row r="118" spans="3:11" x14ac:dyDescent="0.35">
      <c r="C118" s="50"/>
      <c r="D118" t="s">
        <v>188</v>
      </c>
    </row>
    <row r="119" spans="3:11" x14ac:dyDescent="0.35">
      <c r="C119" t="s">
        <v>189</v>
      </c>
      <c r="D119" t="s">
        <v>190</v>
      </c>
    </row>
    <row r="120" spans="3:11" x14ac:dyDescent="0.35">
      <c r="C120" t="s">
        <v>191</v>
      </c>
      <c r="D120" t="s">
        <v>192</v>
      </c>
    </row>
    <row r="123" spans="3:11" x14ac:dyDescent="0.35">
      <c r="C123" t="s">
        <v>193</v>
      </c>
    </row>
    <row r="124" spans="3:11" x14ac:dyDescent="0.35">
      <c r="C124" s="48" t="s">
        <v>183</v>
      </c>
      <c r="D124" s="48" t="s">
        <v>184</v>
      </c>
    </row>
    <row r="125" spans="3:11" x14ac:dyDescent="0.35">
      <c r="C125" s="50" t="s">
        <v>191</v>
      </c>
      <c r="D125" t="s">
        <v>194</v>
      </c>
    </row>
    <row r="126" spans="3:11" x14ac:dyDescent="0.35">
      <c r="C126" s="50"/>
      <c r="D126" t="s">
        <v>195</v>
      </c>
    </row>
    <row r="127" spans="3:11" x14ac:dyDescent="0.35">
      <c r="C127" s="50" t="s">
        <v>196</v>
      </c>
      <c r="D127" t="s">
        <v>197</v>
      </c>
    </row>
    <row r="128" spans="3:11" x14ac:dyDescent="0.35">
      <c r="C128" s="50"/>
      <c r="D128" t="s">
        <v>198</v>
      </c>
    </row>
    <row r="129" spans="3:4" x14ac:dyDescent="0.35">
      <c r="C129" t="s">
        <v>199</v>
      </c>
      <c r="D129" t="s">
        <v>200</v>
      </c>
    </row>
  </sheetData>
  <mergeCells count="94">
    <mergeCell ref="I27:I29"/>
    <mergeCell ref="I105:I107"/>
    <mergeCell ref="I113:I115"/>
    <mergeCell ref="M90:M92"/>
    <mergeCell ref="I109:I111"/>
    <mergeCell ref="I93:I95"/>
    <mergeCell ref="I97:I99"/>
    <mergeCell ref="I89:I91"/>
    <mergeCell ref="I101:I103"/>
    <mergeCell ref="I47:I49"/>
    <mergeCell ref="M51:M53"/>
    <mergeCell ref="I74:I76"/>
    <mergeCell ref="I78:I80"/>
    <mergeCell ref="I67:I69"/>
    <mergeCell ref="I51:I53"/>
    <mergeCell ref="I55:I57"/>
    <mergeCell ref="C7:C9"/>
    <mergeCell ref="C15:C17"/>
    <mergeCell ref="C19:C21"/>
    <mergeCell ref="C23:C25"/>
    <mergeCell ref="C75:C77"/>
    <mergeCell ref="C67:C69"/>
    <mergeCell ref="C71:C73"/>
    <mergeCell ref="C43:C45"/>
    <mergeCell ref="C47:C49"/>
    <mergeCell ref="C51:C53"/>
    <mergeCell ref="I3:I5"/>
    <mergeCell ref="I7:I9"/>
    <mergeCell ref="C55:C57"/>
    <mergeCell ref="C59:C61"/>
    <mergeCell ref="C63:C65"/>
    <mergeCell ref="C31:C33"/>
    <mergeCell ref="C35:C37"/>
    <mergeCell ref="C3:C5"/>
    <mergeCell ref="C39:C41"/>
    <mergeCell ref="I23:I25"/>
    <mergeCell ref="I31:I33"/>
    <mergeCell ref="I35:I37"/>
    <mergeCell ref="I39:I41"/>
    <mergeCell ref="C27:C29"/>
    <mergeCell ref="I43:I45"/>
    <mergeCell ref="I63:I65"/>
    <mergeCell ref="I59:I61"/>
    <mergeCell ref="M31:M33"/>
    <mergeCell ref="M35:M37"/>
    <mergeCell ref="M39:M41"/>
    <mergeCell ref="M43:M45"/>
    <mergeCell ref="M47:M49"/>
    <mergeCell ref="M63:M65"/>
    <mergeCell ref="M67:M69"/>
    <mergeCell ref="P59:P61"/>
    <mergeCell ref="M3:M5"/>
    <mergeCell ref="M7:M9"/>
    <mergeCell ref="M11:M13"/>
    <mergeCell ref="M15:M17"/>
    <mergeCell ref="M19:M21"/>
    <mergeCell ref="M23:M25"/>
    <mergeCell ref="M27:M29"/>
    <mergeCell ref="P23:P25"/>
    <mergeCell ref="P27:P29"/>
    <mergeCell ref="P31:P33"/>
    <mergeCell ref="M55:M57"/>
    <mergeCell ref="M59:M61"/>
    <mergeCell ref="P3:P5"/>
    <mergeCell ref="P7:P9"/>
    <mergeCell ref="P11:P13"/>
    <mergeCell ref="P15:P17"/>
    <mergeCell ref="P19:P21"/>
    <mergeCell ref="P63:P65"/>
    <mergeCell ref="P67:P69"/>
    <mergeCell ref="P71:P73"/>
    <mergeCell ref="P75:P77"/>
    <mergeCell ref="P35:P37"/>
    <mergeCell ref="P39:P41"/>
    <mergeCell ref="P43:P45"/>
    <mergeCell ref="P47:P49"/>
    <mergeCell ref="P51:P53"/>
    <mergeCell ref="P55:P57"/>
    <mergeCell ref="C116:C118"/>
    <mergeCell ref="C125:C126"/>
    <mergeCell ref="C127:C128"/>
    <mergeCell ref="P79:P81"/>
    <mergeCell ref="I71:I72"/>
    <mergeCell ref="I85:I87"/>
    <mergeCell ref="M96:M98"/>
    <mergeCell ref="M100:M102"/>
    <mergeCell ref="M75:M77"/>
    <mergeCell ref="M79:M81"/>
    <mergeCell ref="M71:M73"/>
    <mergeCell ref="C93:C95"/>
    <mergeCell ref="C97:C99"/>
    <mergeCell ref="C79:C81"/>
    <mergeCell ref="C83:C85"/>
    <mergeCell ref="C89:C9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2184-58F5-4EB7-967D-F0BC6A4E0AFC}">
  <dimension ref="A3:R19"/>
  <sheetViews>
    <sheetView showGridLines="0" tabSelected="1" workbookViewId="0">
      <selection activeCell="I4" sqref="I4:K10"/>
    </sheetView>
  </sheetViews>
  <sheetFormatPr defaultRowHeight="14.5" x14ac:dyDescent="0.35"/>
  <sheetData>
    <row r="3" spans="1:18" x14ac:dyDescent="0.35">
      <c r="A3" t="s">
        <v>201</v>
      </c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  <c r="M3" t="s">
        <v>213</v>
      </c>
      <c r="N3" t="s">
        <v>214</v>
      </c>
      <c r="O3" t="s">
        <v>215</v>
      </c>
      <c r="Q3" t="s">
        <v>216</v>
      </c>
      <c r="R3" t="s">
        <v>217</v>
      </c>
    </row>
    <row r="4" spans="1:18" x14ac:dyDescent="0.35">
      <c r="A4" t="s">
        <v>18</v>
      </c>
      <c r="B4" t="s">
        <v>185</v>
      </c>
      <c r="C4">
        <v>121</v>
      </c>
      <c r="D4">
        <v>80</v>
      </c>
      <c r="E4">
        <v>77</v>
      </c>
      <c r="F4">
        <v>44</v>
      </c>
      <c r="G4">
        <v>49</v>
      </c>
      <c r="H4">
        <v>56</v>
      </c>
      <c r="I4">
        <v>88</v>
      </c>
      <c r="J4">
        <v>134</v>
      </c>
      <c r="K4">
        <v>173</v>
      </c>
      <c r="L4">
        <v>191</v>
      </c>
      <c r="M4">
        <v>158</v>
      </c>
      <c r="N4">
        <v>147</v>
      </c>
      <c r="O4" s="27">
        <f>AVERAGE(AQI[[#This Row],[Apr]:[Mar]])</f>
        <v>109.83333333333333</v>
      </c>
      <c r="Q4" t="s">
        <v>218</v>
      </c>
      <c r="R4" t="s">
        <v>219</v>
      </c>
    </row>
    <row r="5" spans="1:18" x14ac:dyDescent="0.35">
      <c r="A5" t="s">
        <v>18</v>
      </c>
      <c r="B5" t="s">
        <v>189</v>
      </c>
      <c r="C5">
        <v>148</v>
      </c>
      <c r="D5">
        <v>97</v>
      </c>
      <c r="E5">
        <v>95</v>
      </c>
      <c r="F5">
        <v>79</v>
      </c>
      <c r="G5">
        <v>100</v>
      </c>
      <c r="H5">
        <v>100</v>
      </c>
      <c r="I5">
        <v>136</v>
      </c>
      <c r="J5">
        <v>213</v>
      </c>
      <c r="K5">
        <v>179</v>
      </c>
      <c r="L5">
        <v>201</v>
      </c>
      <c r="M5">
        <v>155</v>
      </c>
      <c r="N5">
        <v>129</v>
      </c>
      <c r="O5" s="27">
        <f>AVERAGE(AQI[[#This Row],[Apr]:[Mar]])</f>
        <v>136</v>
      </c>
      <c r="Q5" t="s">
        <v>220</v>
      </c>
      <c r="R5" t="s">
        <v>221</v>
      </c>
    </row>
    <row r="6" spans="1:18" x14ac:dyDescent="0.35">
      <c r="A6" t="s">
        <v>18</v>
      </c>
      <c r="B6" t="s">
        <v>191</v>
      </c>
      <c r="C6">
        <v>173</v>
      </c>
      <c r="D6">
        <v>140</v>
      </c>
      <c r="E6">
        <v>111</v>
      </c>
      <c r="F6">
        <v>80</v>
      </c>
      <c r="G6">
        <v>70</v>
      </c>
      <c r="H6">
        <v>79</v>
      </c>
      <c r="I6">
        <v>96</v>
      </c>
      <c r="J6">
        <v>155</v>
      </c>
      <c r="K6">
        <v>171</v>
      </c>
      <c r="L6">
        <v>197</v>
      </c>
      <c r="M6">
        <v>171</v>
      </c>
      <c r="N6">
        <v>159</v>
      </c>
      <c r="O6" s="27">
        <f>AVERAGE(AQI[[#This Row],[Apr]:[Mar]])</f>
        <v>133.5</v>
      </c>
      <c r="Q6" t="s">
        <v>222</v>
      </c>
      <c r="R6" t="s">
        <v>223</v>
      </c>
    </row>
    <row r="7" spans="1:18" x14ac:dyDescent="0.35">
      <c r="A7" t="s">
        <v>18</v>
      </c>
      <c r="B7" t="s">
        <v>196</v>
      </c>
      <c r="C7">
        <v>238</v>
      </c>
      <c r="D7">
        <v>154</v>
      </c>
      <c r="E7">
        <v>122</v>
      </c>
      <c r="F7">
        <v>91</v>
      </c>
      <c r="G7">
        <v>72</v>
      </c>
      <c r="H7">
        <v>96</v>
      </c>
      <c r="I7">
        <v>146</v>
      </c>
      <c r="J7">
        <v>236</v>
      </c>
      <c r="K7">
        <v>286</v>
      </c>
      <c r="L7">
        <v>302</v>
      </c>
      <c r="M7">
        <v>254</v>
      </c>
      <c r="N7">
        <v>230</v>
      </c>
      <c r="O7" s="27">
        <f>AVERAGE(AQI[[#This Row],[Apr]:[Mar]])</f>
        <v>185.58333333333334</v>
      </c>
      <c r="Q7" t="s">
        <v>224</v>
      </c>
      <c r="R7" t="s">
        <v>225</v>
      </c>
    </row>
    <row r="8" spans="1:18" x14ac:dyDescent="0.35">
      <c r="A8" t="s">
        <v>18</v>
      </c>
      <c r="B8" t="s">
        <v>226</v>
      </c>
      <c r="C8">
        <v>141</v>
      </c>
      <c r="D8">
        <v>113</v>
      </c>
      <c r="E8">
        <v>92</v>
      </c>
      <c r="F8">
        <v>54</v>
      </c>
      <c r="G8">
        <v>53</v>
      </c>
      <c r="H8">
        <v>49</v>
      </c>
      <c r="I8">
        <v>78</v>
      </c>
      <c r="J8">
        <v>130</v>
      </c>
      <c r="K8">
        <v>110</v>
      </c>
      <c r="L8">
        <v>133</v>
      </c>
      <c r="M8">
        <v>121</v>
      </c>
      <c r="N8">
        <v>117</v>
      </c>
      <c r="O8" s="27">
        <f>AVERAGE(AQI[[#This Row],[Apr]:[Mar]])</f>
        <v>99.25</v>
      </c>
      <c r="Q8" t="s">
        <v>227</v>
      </c>
      <c r="R8" t="s">
        <v>228</v>
      </c>
    </row>
    <row r="9" spans="1:18" x14ac:dyDescent="0.35">
      <c r="A9" t="s">
        <v>21</v>
      </c>
      <c r="B9" t="s">
        <v>185</v>
      </c>
      <c r="C9">
        <v>105</v>
      </c>
      <c r="D9">
        <v>93</v>
      </c>
      <c r="E9">
        <v>85</v>
      </c>
      <c r="F9">
        <v>56</v>
      </c>
      <c r="G9">
        <v>78</v>
      </c>
      <c r="H9">
        <v>61</v>
      </c>
      <c r="I9">
        <v>106</v>
      </c>
      <c r="J9">
        <v>141</v>
      </c>
      <c r="K9">
        <v>146</v>
      </c>
      <c r="L9">
        <v>182</v>
      </c>
      <c r="M9">
        <v>122</v>
      </c>
      <c r="N9">
        <v>107</v>
      </c>
      <c r="O9" s="27">
        <f>AVERAGE(AQI[[#This Row],[Apr]:[Mar]])</f>
        <v>106.83333333333333</v>
      </c>
      <c r="Q9" t="s">
        <v>229</v>
      </c>
      <c r="R9" t="s">
        <v>230</v>
      </c>
    </row>
    <row r="10" spans="1:18" x14ac:dyDescent="0.35">
      <c r="A10" t="s">
        <v>21</v>
      </c>
      <c r="B10" t="s">
        <v>189</v>
      </c>
      <c r="C10">
        <v>137</v>
      </c>
      <c r="D10">
        <v>112</v>
      </c>
      <c r="E10">
        <v>107</v>
      </c>
      <c r="F10">
        <v>77</v>
      </c>
      <c r="G10">
        <v>102</v>
      </c>
      <c r="H10">
        <v>78</v>
      </c>
      <c r="I10">
        <v>136</v>
      </c>
      <c r="J10">
        <v>170</v>
      </c>
      <c r="K10">
        <v>170</v>
      </c>
      <c r="L10">
        <v>230</v>
      </c>
      <c r="M10">
        <v>149</v>
      </c>
      <c r="N10">
        <v>119</v>
      </c>
      <c r="O10" s="27">
        <f>AVERAGE(AQI[[#This Row],[Apr]:[Mar]])</f>
        <v>132.25</v>
      </c>
    </row>
    <row r="11" spans="1:18" x14ac:dyDescent="0.35">
      <c r="A11" t="s">
        <v>21</v>
      </c>
      <c r="B11" t="s">
        <v>191</v>
      </c>
      <c r="C11">
        <v>103</v>
      </c>
      <c r="D11">
        <v>82</v>
      </c>
      <c r="E11">
        <v>84</v>
      </c>
      <c r="F11">
        <v>55</v>
      </c>
      <c r="G11">
        <v>75</v>
      </c>
      <c r="H11">
        <v>67</v>
      </c>
      <c r="I11">
        <v>106</v>
      </c>
      <c r="J11">
        <v>171</v>
      </c>
      <c r="K11">
        <v>207</v>
      </c>
      <c r="L11">
        <v>240</v>
      </c>
      <c r="M11">
        <v>204</v>
      </c>
      <c r="N11">
        <v>147</v>
      </c>
      <c r="O11" s="27">
        <f>AVERAGE(AQI[[#This Row],[Apr]:[Mar]])</f>
        <v>128.41666666666666</v>
      </c>
    </row>
    <row r="12" spans="1:18" x14ac:dyDescent="0.35">
      <c r="A12" t="s">
        <v>21</v>
      </c>
      <c r="B12" t="s">
        <v>196</v>
      </c>
      <c r="C12">
        <v>224</v>
      </c>
      <c r="D12">
        <v>182</v>
      </c>
      <c r="E12">
        <v>166</v>
      </c>
      <c r="F12">
        <v>102</v>
      </c>
      <c r="G12">
        <v>113</v>
      </c>
      <c r="H12">
        <v>112</v>
      </c>
      <c r="I12">
        <v>182</v>
      </c>
      <c r="J12">
        <v>244</v>
      </c>
      <c r="K12">
        <v>238</v>
      </c>
      <c r="L12">
        <v>316</v>
      </c>
      <c r="M12">
        <v>256</v>
      </c>
      <c r="N12">
        <v>210</v>
      </c>
      <c r="O12" s="27">
        <f>AVERAGE(AQI[[#This Row],[Apr]:[Mar]])</f>
        <v>195.41666666666666</v>
      </c>
    </row>
    <row r="13" spans="1:18" x14ac:dyDescent="0.35">
      <c r="A13" t="s">
        <v>21</v>
      </c>
      <c r="B13" t="s">
        <v>226</v>
      </c>
      <c r="C13">
        <v>141</v>
      </c>
      <c r="D13">
        <v>112</v>
      </c>
      <c r="E13">
        <v>107</v>
      </c>
      <c r="F13">
        <v>62</v>
      </c>
      <c r="G13">
        <v>79</v>
      </c>
      <c r="H13">
        <v>52</v>
      </c>
      <c r="I13">
        <v>110</v>
      </c>
      <c r="J13">
        <v>161</v>
      </c>
      <c r="K13">
        <v>154</v>
      </c>
      <c r="L13">
        <v>263</v>
      </c>
      <c r="M13">
        <v>143</v>
      </c>
      <c r="N13">
        <v>121</v>
      </c>
      <c r="O13" s="27">
        <f>AVERAGE(AQI[[#This Row],[Apr]:[Mar]])</f>
        <v>125.41666666666667</v>
      </c>
    </row>
    <row r="14" spans="1:18" x14ac:dyDescent="0.35">
      <c r="A14" t="s">
        <v>16</v>
      </c>
      <c r="B14" t="s">
        <v>185</v>
      </c>
      <c r="C14" s="27">
        <v>103.64774520613743</v>
      </c>
      <c r="D14" s="27">
        <v>81.469772304259934</v>
      </c>
      <c r="E14" s="27">
        <v>74.412217889926026</v>
      </c>
      <c r="F14" s="27">
        <v>67.139040761113762</v>
      </c>
      <c r="G14" s="27">
        <v>61.411894072353846</v>
      </c>
      <c r="H14" s="27">
        <v>66.925534894894611</v>
      </c>
      <c r="I14" s="27">
        <v>103.29759429126315</v>
      </c>
      <c r="J14" s="27">
        <v>155.07774809854911</v>
      </c>
      <c r="K14" s="27">
        <v>217.63868249623454</v>
      </c>
      <c r="L14" s="27">
        <v>162.86792817830641</v>
      </c>
      <c r="M14" s="27">
        <v>133.77634982638887</v>
      </c>
      <c r="N14">
        <v>113</v>
      </c>
      <c r="O14" s="27">
        <f>AVERAGE(AQI[[#This Row],[Apr]:[Mar]])</f>
        <v>111.72204233495232</v>
      </c>
    </row>
    <row r="15" spans="1:18" x14ac:dyDescent="0.35">
      <c r="A15" t="s">
        <v>16</v>
      </c>
      <c r="B15" t="s">
        <v>189</v>
      </c>
      <c r="C15">
        <v>103</v>
      </c>
      <c r="D15">
        <v>83</v>
      </c>
      <c r="E15">
        <v>77</v>
      </c>
      <c r="F15">
        <v>62</v>
      </c>
      <c r="G15">
        <v>64</v>
      </c>
      <c r="H15">
        <v>75</v>
      </c>
      <c r="I15">
        <v>106</v>
      </c>
      <c r="J15">
        <v>183</v>
      </c>
      <c r="K15">
        <v>233</v>
      </c>
      <c r="L15">
        <v>227</v>
      </c>
      <c r="M15">
        <v>182</v>
      </c>
      <c r="N15">
        <v>119</v>
      </c>
      <c r="O15" s="27">
        <f>AVERAGE(AQI[[#This Row],[Apr]:[Mar]])</f>
        <v>126.16666666666667</v>
      </c>
    </row>
    <row r="16" spans="1:18" x14ac:dyDescent="0.35">
      <c r="A16" t="s">
        <v>16</v>
      </c>
      <c r="B16" t="s">
        <v>191</v>
      </c>
      <c r="C16">
        <v>125</v>
      </c>
      <c r="D16">
        <v>94</v>
      </c>
      <c r="E16">
        <v>84</v>
      </c>
      <c r="F16">
        <v>61</v>
      </c>
      <c r="G16">
        <v>70</v>
      </c>
      <c r="H16">
        <v>76</v>
      </c>
      <c r="I16">
        <v>104</v>
      </c>
      <c r="J16">
        <v>172</v>
      </c>
      <c r="K16">
        <v>258</v>
      </c>
      <c r="L16">
        <v>245</v>
      </c>
      <c r="M16">
        <v>206</v>
      </c>
      <c r="N16">
        <v>159</v>
      </c>
      <c r="O16" s="27">
        <f>AVERAGE(AQI[[#This Row],[Apr]:[Mar]])</f>
        <v>137.83333333333334</v>
      </c>
    </row>
    <row r="17" spans="1:16" x14ac:dyDescent="0.35">
      <c r="A17" t="s">
        <v>16</v>
      </c>
      <c r="B17" t="s">
        <v>196</v>
      </c>
      <c r="C17">
        <v>157</v>
      </c>
      <c r="D17">
        <v>112</v>
      </c>
      <c r="E17">
        <v>92</v>
      </c>
      <c r="F17">
        <v>72</v>
      </c>
      <c r="G17">
        <v>89</v>
      </c>
      <c r="H17">
        <v>95</v>
      </c>
      <c r="I17">
        <v>168</v>
      </c>
      <c r="J17">
        <v>234</v>
      </c>
      <c r="K17">
        <v>315</v>
      </c>
      <c r="L17">
        <v>291</v>
      </c>
      <c r="M17">
        <v>242</v>
      </c>
      <c r="N17">
        <v>207</v>
      </c>
      <c r="O17" s="27">
        <f>AVERAGE(AQI[[#This Row],[Apr]:[Mar]])</f>
        <v>172.83333333333334</v>
      </c>
    </row>
    <row r="18" spans="1:16" x14ac:dyDescent="0.35">
      <c r="A18" t="s">
        <v>16</v>
      </c>
      <c r="B18" t="s">
        <v>231</v>
      </c>
      <c r="C18" s="28">
        <v>26.94</v>
      </c>
      <c r="D18" s="28">
        <v>22.3</v>
      </c>
      <c r="E18" s="28">
        <v>20.83</v>
      </c>
      <c r="F18" s="28">
        <v>16.829999999999998</v>
      </c>
      <c r="G18" s="28">
        <v>20.81</v>
      </c>
      <c r="H18" s="28">
        <v>19.079999999999998</v>
      </c>
      <c r="I18" s="28">
        <v>19.27</v>
      </c>
      <c r="J18" s="28">
        <v>30.512499999999999</v>
      </c>
      <c r="K18" s="28">
        <v>27.574999999999999</v>
      </c>
      <c r="L18" s="28">
        <v>33.86</v>
      </c>
      <c r="M18" s="28">
        <v>32.450000000000003</v>
      </c>
      <c r="N18" s="28">
        <v>33.869999999999997</v>
      </c>
      <c r="O18" s="27">
        <f>AVERAGE(AQI[[#This Row],[Apr]:[Mar]])</f>
        <v>25.360624999999999</v>
      </c>
      <c r="P18" t="s">
        <v>232</v>
      </c>
    </row>
    <row r="19" spans="1:16" x14ac:dyDescent="0.35">
      <c r="A19" t="s">
        <v>16</v>
      </c>
      <c r="B19" t="s">
        <v>226</v>
      </c>
      <c r="C19">
        <v>99</v>
      </c>
      <c r="D19">
        <v>92</v>
      </c>
      <c r="E19">
        <v>83</v>
      </c>
      <c r="F19">
        <v>58</v>
      </c>
      <c r="G19">
        <v>61</v>
      </c>
      <c r="H19">
        <v>69</v>
      </c>
      <c r="I19">
        <v>85</v>
      </c>
      <c r="J19">
        <v>170</v>
      </c>
      <c r="K19">
        <v>287</v>
      </c>
      <c r="L19">
        <v>258</v>
      </c>
      <c r="M19">
        <v>198</v>
      </c>
      <c r="N19">
        <v>152</v>
      </c>
      <c r="O19" s="27">
        <f>AVERAGE(AQI[[#This Row],[Apr]:[Mar]])</f>
        <v>134.33333333333334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65E3-297E-4691-A609-126D2E3FDB19}">
  <dimension ref="A1:A2"/>
  <sheetViews>
    <sheetView showGridLines="0" workbookViewId="0">
      <selection activeCell="J5" sqref="J5"/>
    </sheetView>
  </sheetViews>
  <sheetFormatPr defaultRowHeight="14.5" x14ac:dyDescent="0.35"/>
  <sheetData>
    <row r="1" spans="1:1" x14ac:dyDescent="0.35">
      <c r="A1" t="s">
        <v>233</v>
      </c>
    </row>
    <row r="2" spans="1:1" x14ac:dyDescent="0.35">
      <c r="A2" t="s">
        <v>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6BF2-C4B3-4A57-A321-20DDC7378998}">
  <dimension ref="A4:W60"/>
  <sheetViews>
    <sheetView showGridLines="0" workbookViewId="0">
      <selection activeCell="E9" sqref="E9"/>
    </sheetView>
  </sheetViews>
  <sheetFormatPr defaultRowHeight="14.5" x14ac:dyDescent="0.35"/>
  <cols>
    <col min="1" max="1" width="14.7265625" bestFit="1" customWidth="1"/>
  </cols>
  <sheetData>
    <row r="4" spans="1:23" x14ac:dyDescent="0.35">
      <c r="A4" s="61" t="s">
        <v>191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</row>
    <row r="5" spans="1:23" x14ac:dyDescent="0.35">
      <c r="A5" s="23" t="s">
        <v>235</v>
      </c>
      <c r="B5" s="24" t="s">
        <v>236</v>
      </c>
      <c r="C5" s="24" t="s">
        <v>237</v>
      </c>
      <c r="D5" s="23" t="s">
        <v>238</v>
      </c>
      <c r="E5" s="24" t="s">
        <v>239</v>
      </c>
      <c r="G5" t="s">
        <v>240</v>
      </c>
      <c r="H5" t="s">
        <v>236</v>
      </c>
      <c r="I5" t="s">
        <v>237</v>
      </c>
      <c r="J5" t="s">
        <v>238</v>
      </c>
      <c r="K5" t="s">
        <v>239</v>
      </c>
      <c r="M5" t="s">
        <v>241</v>
      </c>
      <c r="N5" t="s">
        <v>236</v>
      </c>
      <c r="O5" t="s">
        <v>237</v>
      </c>
      <c r="P5" t="s">
        <v>238</v>
      </c>
      <c r="Q5" t="s">
        <v>239</v>
      </c>
      <c r="S5" t="s">
        <v>242</v>
      </c>
      <c r="T5" t="s">
        <v>236</v>
      </c>
      <c r="U5" t="s">
        <v>237</v>
      </c>
      <c r="V5" t="s">
        <v>238</v>
      </c>
      <c r="W5" t="s">
        <v>239</v>
      </c>
    </row>
    <row r="6" spans="1:23" x14ac:dyDescent="0.35">
      <c r="A6" s="25">
        <v>45748</v>
      </c>
      <c r="B6" s="26">
        <v>0</v>
      </c>
      <c r="C6" s="26">
        <v>0</v>
      </c>
      <c r="D6" s="26">
        <v>8.57</v>
      </c>
      <c r="E6" s="26">
        <v>10</v>
      </c>
      <c r="G6" s="22">
        <v>45748</v>
      </c>
      <c r="H6">
        <v>0</v>
      </c>
      <c r="I6">
        <v>0</v>
      </c>
      <c r="J6">
        <v>0.36</v>
      </c>
      <c r="K6">
        <v>1</v>
      </c>
      <c r="M6" s="22">
        <v>45748</v>
      </c>
      <c r="N6">
        <v>1.64</v>
      </c>
      <c r="O6">
        <v>1.64</v>
      </c>
      <c r="P6">
        <v>1.43</v>
      </c>
      <c r="Q6">
        <v>4</v>
      </c>
      <c r="S6" s="22">
        <v>45748</v>
      </c>
      <c r="T6">
        <v>120</v>
      </c>
      <c r="U6">
        <v>55</v>
      </c>
      <c r="V6">
        <v>15</v>
      </c>
      <c r="W6">
        <v>75</v>
      </c>
    </row>
    <row r="7" spans="1:23" x14ac:dyDescent="0.35">
      <c r="A7" s="25">
        <v>45778</v>
      </c>
      <c r="B7" s="26">
        <v>0</v>
      </c>
      <c r="C7" s="26">
        <v>0.82</v>
      </c>
      <c r="D7" s="26">
        <v>7.14</v>
      </c>
      <c r="E7" s="26">
        <v>10</v>
      </c>
      <c r="G7" s="22">
        <v>45778</v>
      </c>
      <c r="H7">
        <v>0</v>
      </c>
      <c r="I7">
        <v>0</v>
      </c>
      <c r="J7">
        <v>0.36</v>
      </c>
      <c r="K7">
        <v>1</v>
      </c>
      <c r="M7" s="22">
        <v>45778</v>
      </c>
      <c r="N7">
        <v>1.64</v>
      </c>
      <c r="O7">
        <v>1.64</v>
      </c>
      <c r="P7">
        <v>1.43</v>
      </c>
      <c r="Q7">
        <v>4</v>
      </c>
      <c r="S7" s="22">
        <v>45778</v>
      </c>
      <c r="T7">
        <v>85</v>
      </c>
      <c r="U7">
        <v>45</v>
      </c>
      <c r="V7">
        <v>17</v>
      </c>
      <c r="W7">
        <v>75</v>
      </c>
    </row>
    <row r="8" spans="1:23" x14ac:dyDescent="0.35">
      <c r="A8" s="25">
        <v>45809</v>
      </c>
      <c r="B8" s="26">
        <v>0.82</v>
      </c>
      <c r="C8" s="26">
        <v>0.82</v>
      </c>
      <c r="D8" s="26">
        <v>9.2899999999999991</v>
      </c>
      <c r="E8" s="26">
        <v>10</v>
      </c>
      <c r="G8" s="22">
        <v>45809</v>
      </c>
      <c r="H8">
        <v>0</v>
      </c>
      <c r="I8">
        <v>0</v>
      </c>
      <c r="J8">
        <v>0.36</v>
      </c>
      <c r="K8">
        <v>1</v>
      </c>
      <c r="M8" s="22">
        <v>45809</v>
      </c>
      <c r="N8">
        <v>1.64</v>
      </c>
      <c r="O8">
        <v>1.64</v>
      </c>
      <c r="P8">
        <v>1.43</v>
      </c>
      <c r="Q8">
        <v>4</v>
      </c>
      <c r="S8" s="22">
        <v>45809</v>
      </c>
      <c r="T8">
        <v>60</v>
      </c>
      <c r="U8">
        <v>55</v>
      </c>
      <c r="V8">
        <v>21</v>
      </c>
      <c r="W8">
        <v>75</v>
      </c>
    </row>
    <row r="9" spans="1:23" x14ac:dyDescent="0.35">
      <c r="A9" s="25">
        <v>45839</v>
      </c>
      <c r="B9" s="26">
        <v>0</v>
      </c>
      <c r="C9" s="26">
        <v>0</v>
      </c>
      <c r="D9" s="26">
        <v>7.86</v>
      </c>
      <c r="E9" s="26">
        <v>10</v>
      </c>
      <c r="G9" s="22">
        <v>45839</v>
      </c>
      <c r="H9">
        <v>0.55000000000000004</v>
      </c>
      <c r="I9">
        <v>0.55000000000000004</v>
      </c>
      <c r="J9">
        <v>0</v>
      </c>
      <c r="K9">
        <v>1</v>
      </c>
      <c r="M9" s="22">
        <v>45839</v>
      </c>
      <c r="N9">
        <v>3.28</v>
      </c>
      <c r="O9">
        <v>1.64</v>
      </c>
      <c r="P9">
        <v>1.43</v>
      </c>
      <c r="Q9">
        <v>4</v>
      </c>
      <c r="S9" s="22">
        <v>45839</v>
      </c>
      <c r="T9">
        <v>58</v>
      </c>
      <c r="U9">
        <v>58</v>
      </c>
      <c r="V9">
        <v>10</v>
      </c>
      <c r="W9">
        <v>75</v>
      </c>
    </row>
    <row r="10" spans="1:23" x14ac:dyDescent="0.35">
      <c r="A10" s="25">
        <v>45870</v>
      </c>
      <c r="B10" s="26">
        <v>0</v>
      </c>
      <c r="C10" s="26">
        <v>0</v>
      </c>
      <c r="D10" s="26">
        <v>7.86</v>
      </c>
      <c r="E10" s="26">
        <v>10</v>
      </c>
      <c r="G10" s="22">
        <v>45870</v>
      </c>
      <c r="H10">
        <v>0</v>
      </c>
      <c r="I10">
        <v>0.55000000000000004</v>
      </c>
      <c r="J10">
        <v>0.36</v>
      </c>
      <c r="K10">
        <v>1</v>
      </c>
      <c r="M10" s="22">
        <v>45870</v>
      </c>
      <c r="N10">
        <v>1.64</v>
      </c>
      <c r="O10">
        <v>1.64</v>
      </c>
      <c r="P10">
        <v>0</v>
      </c>
      <c r="Q10">
        <v>4</v>
      </c>
      <c r="S10" s="22">
        <v>45870</v>
      </c>
      <c r="T10">
        <v>55</v>
      </c>
      <c r="U10">
        <v>65</v>
      </c>
      <c r="V10">
        <v>12</v>
      </c>
      <c r="W10">
        <v>75</v>
      </c>
    </row>
    <row r="11" spans="1:23" x14ac:dyDescent="0.35">
      <c r="A11" s="25">
        <v>45901</v>
      </c>
      <c r="B11" s="26">
        <v>0</v>
      </c>
      <c r="C11" s="26">
        <v>0</v>
      </c>
      <c r="D11" s="26">
        <v>6.43</v>
      </c>
      <c r="E11" s="26">
        <v>10</v>
      </c>
      <c r="G11" s="22">
        <v>45901</v>
      </c>
      <c r="H11">
        <v>0</v>
      </c>
      <c r="I11">
        <v>0.55000000000000004</v>
      </c>
      <c r="J11">
        <v>0</v>
      </c>
      <c r="K11">
        <v>1</v>
      </c>
      <c r="M11" s="22">
        <v>45901</v>
      </c>
      <c r="N11">
        <v>1.64</v>
      </c>
      <c r="O11">
        <v>1.64</v>
      </c>
      <c r="P11">
        <v>1.43</v>
      </c>
      <c r="Q11">
        <v>4</v>
      </c>
      <c r="S11" s="22">
        <v>45901</v>
      </c>
      <c r="T11">
        <v>50</v>
      </c>
      <c r="U11">
        <v>45</v>
      </c>
      <c r="V11">
        <v>10</v>
      </c>
      <c r="W11">
        <v>75</v>
      </c>
    </row>
    <row r="12" spans="1:23" x14ac:dyDescent="0.35">
      <c r="A12" s="25">
        <v>45931</v>
      </c>
      <c r="B12" s="26">
        <v>0</v>
      </c>
      <c r="C12" s="26">
        <v>0</v>
      </c>
      <c r="D12" s="26">
        <v>6.43</v>
      </c>
      <c r="E12" s="26">
        <v>10</v>
      </c>
      <c r="G12" s="22">
        <v>45931</v>
      </c>
      <c r="H12">
        <v>0</v>
      </c>
      <c r="I12">
        <v>0</v>
      </c>
      <c r="J12">
        <v>0.36</v>
      </c>
      <c r="K12">
        <v>1</v>
      </c>
      <c r="M12" s="22">
        <v>45931</v>
      </c>
      <c r="N12">
        <v>1.64</v>
      </c>
      <c r="O12">
        <v>3.28</v>
      </c>
      <c r="P12">
        <v>1.43</v>
      </c>
      <c r="Q12">
        <v>4</v>
      </c>
      <c r="S12" s="22">
        <v>45931</v>
      </c>
      <c r="T12">
        <v>55</v>
      </c>
      <c r="U12">
        <v>30</v>
      </c>
      <c r="V12">
        <v>12</v>
      </c>
      <c r="W12">
        <v>75</v>
      </c>
    </row>
    <row r="13" spans="1:23" x14ac:dyDescent="0.35">
      <c r="A13" s="25">
        <v>45962</v>
      </c>
      <c r="B13" s="26">
        <v>0</v>
      </c>
      <c r="C13" s="26">
        <v>0</v>
      </c>
      <c r="D13" s="26">
        <v>6.43</v>
      </c>
      <c r="E13" s="26">
        <v>10</v>
      </c>
      <c r="G13" s="22">
        <v>45962</v>
      </c>
      <c r="H13">
        <v>0</v>
      </c>
      <c r="I13">
        <v>0</v>
      </c>
      <c r="J13">
        <v>0.36</v>
      </c>
      <c r="K13">
        <v>1</v>
      </c>
      <c r="M13" s="22">
        <v>45962</v>
      </c>
      <c r="N13">
        <v>0</v>
      </c>
      <c r="O13">
        <v>3.28</v>
      </c>
      <c r="P13">
        <v>1.43</v>
      </c>
      <c r="Q13">
        <v>4</v>
      </c>
      <c r="S13" s="22">
        <v>45962</v>
      </c>
      <c r="T13">
        <v>65</v>
      </c>
      <c r="U13">
        <v>60</v>
      </c>
      <c r="V13">
        <v>15</v>
      </c>
      <c r="W13">
        <v>75</v>
      </c>
    </row>
    <row r="14" spans="1:23" x14ac:dyDescent="0.35">
      <c r="A14" s="25">
        <v>45992</v>
      </c>
      <c r="B14" s="26">
        <v>0</v>
      </c>
      <c r="C14" s="26">
        <v>0</v>
      </c>
      <c r="D14" s="26">
        <v>5.71</v>
      </c>
      <c r="E14" s="26">
        <v>10</v>
      </c>
      <c r="G14" s="22">
        <v>45992</v>
      </c>
      <c r="H14">
        <v>0.55000000000000004</v>
      </c>
      <c r="I14">
        <v>0.55000000000000004</v>
      </c>
      <c r="J14">
        <v>0.36</v>
      </c>
      <c r="K14">
        <v>1</v>
      </c>
      <c r="M14" s="22">
        <v>45992</v>
      </c>
      <c r="N14">
        <v>1.64</v>
      </c>
      <c r="O14">
        <v>3.28</v>
      </c>
      <c r="P14">
        <v>1.43</v>
      </c>
      <c r="Q14">
        <v>4</v>
      </c>
      <c r="S14" s="22">
        <v>45992</v>
      </c>
      <c r="T14">
        <v>45</v>
      </c>
      <c r="U14">
        <v>60</v>
      </c>
      <c r="V14">
        <v>10</v>
      </c>
      <c r="W14">
        <v>75</v>
      </c>
    </row>
    <row r="15" spans="1:23" x14ac:dyDescent="0.35">
      <c r="A15" s="25">
        <v>46023</v>
      </c>
      <c r="B15" s="26">
        <v>0</v>
      </c>
      <c r="C15" s="26">
        <v>0</v>
      </c>
      <c r="D15" s="26">
        <v>6.43</v>
      </c>
      <c r="E15" s="26">
        <v>10</v>
      </c>
      <c r="G15" s="22">
        <v>46023</v>
      </c>
      <c r="H15">
        <v>0</v>
      </c>
      <c r="I15">
        <v>0</v>
      </c>
      <c r="J15">
        <v>0.36</v>
      </c>
      <c r="K15">
        <v>1</v>
      </c>
      <c r="M15" s="22">
        <v>46023</v>
      </c>
      <c r="N15">
        <v>1.64</v>
      </c>
      <c r="O15">
        <v>3.28</v>
      </c>
      <c r="P15">
        <v>1.43</v>
      </c>
      <c r="Q15">
        <v>4</v>
      </c>
      <c r="S15" s="22">
        <v>46023</v>
      </c>
      <c r="T15">
        <v>40</v>
      </c>
      <c r="U15">
        <v>60</v>
      </c>
      <c r="V15">
        <v>12</v>
      </c>
      <c r="W15">
        <v>75</v>
      </c>
    </row>
    <row r="16" spans="1:23" x14ac:dyDescent="0.35">
      <c r="A16" s="25">
        <v>46054</v>
      </c>
      <c r="B16" s="26">
        <v>0</v>
      </c>
      <c r="C16" s="26">
        <v>0</v>
      </c>
      <c r="D16" s="26">
        <v>5</v>
      </c>
      <c r="E16" s="26">
        <v>10</v>
      </c>
      <c r="G16" s="22">
        <v>46054</v>
      </c>
      <c r="H16">
        <v>0</v>
      </c>
      <c r="I16">
        <v>0</v>
      </c>
      <c r="J16">
        <v>0.36</v>
      </c>
      <c r="K16">
        <v>1</v>
      </c>
      <c r="M16" s="22">
        <v>46054</v>
      </c>
      <c r="N16">
        <v>3.28</v>
      </c>
      <c r="O16">
        <v>1.64</v>
      </c>
      <c r="P16">
        <v>1.43</v>
      </c>
      <c r="Q16">
        <v>4</v>
      </c>
      <c r="S16" s="22">
        <v>46054</v>
      </c>
      <c r="T16">
        <v>70</v>
      </c>
      <c r="U16">
        <v>65</v>
      </c>
      <c r="V16">
        <v>14</v>
      </c>
      <c r="W16">
        <v>75</v>
      </c>
    </row>
    <row r="17" spans="1:23" x14ac:dyDescent="0.35">
      <c r="A17" s="25">
        <v>46082</v>
      </c>
      <c r="B17" s="26">
        <v>0</v>
      </c>
      <c r="C17" s="26">
        <v>0</v>
      </c>
      <c r="D17" s="26">
        <v>9.2899999999999991</v>
      </c>
      <c r="E17" s="26">
        <v>10</v>
      </c>
      <c r="G17" s="22">
        <v>46082</v>
      </c>
      <c r="H17">
        <v>0</v>
      </c>
      <c r="I17">
        <v>0</v>
      </c>
      <c r="J17">
        <v>0</v>
      </c>
      <c r="K17">
        <v>1</v>
      </c>
      <c r="M17" s="22">
        <v>46082</v>
      </c>
      <c r="N17">
        <v>0</v>
      </c>
      <c r="O17">
        <v>3.28</v>
      </c>
      <c r="P17">
        <v>0</v>
      </c>
      <c r="Q17">
        <v>4</v>
      </c>
      <c r="S17" s="22">
        <v>46082</v>
      </c>
      <c r="T17">
        <v>65</v>
      </c>
      <c r="U17">
        <v>55</v>
      </c>
      <c r="V17">
        <v>10</v>
      </c>
      <c r="W17">
        <v>75</v>
      </c>
    </row>
    <row r="19" spans="1:23" x14ac:dyDescent="0.35">
      <c r="A19" s="61" t="s">
        <v>189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</row>
    <row r="20" spans="1:23" x14ac:dyDescent="0.35">
      <c r="A20" t="s">
        <v>243</v>
      </c>
      <c r="B20" t="s">
        <v>244</v>
      </c>
      <c r="D20" t="s">
        <v>245</v>
      </c>
      <c r="F20" t="s">
        <v>246</v>
      </c>
      <c r="I20">
        <v>46113</v>
      </c>
      <c r="J20" t="s">
        <v>244</v>
      </c>
      <c r="K20" t="s">
        <v>245</v>
      </c>
      <c r="L20" t="s">
        <v>240</v>
      </c>
    </row>
    <row r="21" spans="1:23" x14ac:dyDescent="0.35">
      <c r="B21" t="s">
        <v>247</v>
      </c>
      <c r="C21" t="s">
        <v>248</v>
      </c>
      <c r="D21" t="s">
        <v>247</v>
      </c>
      <c r="E21" t="s">
        <v>248</v>
      </c>
      <c r="F21" t="s">
        <v>249</v>
      </c>
      <c r="G21" t="s">
        <v>250</v>
      </c>
      <c r="I21" t="s">
        <v>251</v>
      </c>
      <c r="J21">
        <v>2.5</v>
      </c>
      <c r="K21">
        <v>1.7</v>
      </c>
      <c r="L21">
        <v>0</v>
      </c>
    </row>
    <row r="22" spans="1:23" x14ac:dyDescent="0.35">
      <c r="A22">
        <v>45748</v>
      </c>
      <c r="B22">
        <v>2.9</v>
      </c>
      <c r="C22">
        <v>2.9</v>
      </c>
      <c r="D22">
        <v>0</v>
      </c>
      <c r="E22">
        <v>0</v>
      </c>
      <c r="F22">
        <v>0</v>
      </c>
      <c r="G22">
        <v>0</v>
      </c>
    </row>
    <row r="23" spans="1:23" x14ac:dyDescent="0.35">
      <c r="A23">
        <v>45778</v>
      </c>
      <c r="B23">
        <v>3.2</v>
      </c>
      <c r="C23">
        <v>3.3</v>
      </c>
      <c r="D23">
        <v>0</v>
      </c>
      <c r="E23">
        <v>0</v>
      </c>
      <c r="F23">
        <v>0</v>
      </c>
      <c r="G23">
        <v>0</v>
      </c>
    </row>
    <row r="24" spans="1:23" x14ac:dyDescent="0.35">
      <c r="A24">
        <v>45809</v>
      </c>
      <c r="B24">
        <v>3.2</v>
      </c>
      <c r="C24">
        <v>3.3</v>
      </c>
      <c r="D24">
        <v>0</v>
      </c>
      <c r="E24">
        <v>0</v>
      </c>
      <c r="F24">
        <v>0</v>
      </c>
      <c r="G24">
        <v>0</v>
      </c>
    </row>
    <row r="25" spans="1:23" x14ac:dyDescent="0.35">
      <c r="A25">
        <v>45839</v>
      </c>
      <c r="B25">
        <v>3.2</v>
      </c>
      <c r="C25">
        <v>3.2</v>
      </c>
      <c r="D25">
        <v>0</v>
      </c>
      <c r="E25">
        <v>0</v>
      </c>
      <c r="F25">
        <v>0</v>
      </c>
      <c r="G25">
        <v>0</v>
      </c>
    </row>
    <row r="26" spans="1:23" x14ac:dyDescent="0.35">
      <c r="A26">
        <v>45870</v>
      </c>
      <c r="B26">
        <v>3.2</v>
      </c>
      <c r="C26">
        <v>3.3</v>
      </c>
      <c r="D26">
        <v>0</v>
      </c>
      <c r="E26">
        <v>0</v>
      </c>
      <c r="F26">
        <v>0</v>
      </c>
      <c r="G26">
        <v>0</v>
      </c>
    </row>
    <row r="27" spans="1:23" x14ac:dyDescent="0.35">
      <c r="A27">
        <v>45901</v>
      </c>
      <c r="B27">
        <v>3.2</v>
      </c>
      <c r="C27">
        <v>3.2</v>
      </c>
      <c r="D27">
        <v>0</v>
      </c>
      <c r="E27">
        <v>0</v>
      </c>
      <c r="F27">
        <v>0</v>
      </c>
      <c r="G27">
        <v>0</v>
      </c>
    </row>
    <row r="28" spans="1:23" x14ac:dyDescent="0.35">
      <c r="A28">
        <v>45931</v>
      </c>
      <c r="B28">
        <v>3.3</v>
      </c>
      <c r="C28">
        <v>3.3</v>
      </c>
      <c r="D28">
        <v>0</v>
      </c>
      <c r="E28">
        <v>0</v>
      </c>
      <c r="F28">
        <v>0</v>
      </c>
      <c r="G28">
        <v>0</v>
      </c>
    </row>
    <row r="29" spans="1:23" x14ac:dyDescent="0.35">
      <c r="A29">
        <v>45962</v>
      </c>
      <c r="B29">
        <v>3.2</v>
      </c>
      <c r="C29">
        <v>3.3</v>
      </c>
      <c r="D29">
        <v>0</v>
      </c>
      <c r="E29">
        <v>0</v>
      </c>
      <c r="F29">
        <v>0</v>
      </c>
      <c r="G29">
        <v>0</v>
      </c>
    </row>
    <row r="30" spans="1:23" x14ac:dyDescent="0.35">
      <c r="A30">
        <v>45992</v>
      </c>
      <c r="B30">
        <v>3.1</v>
      </c>
      <c r="C30">
        <v>3.1</v>
      </c>
      <c r="D30">
        <v>0</v>
      </c>
      <c r="E30">
        <v>0</v>
      </c>
      <c r="F30">
        <v>0</v>
      </c>
      <c r="G30">
        <v>0</v>
      </c>
    </row>
    <row r="31" spans="1:23" x14ac:dyDescent="0.35">
      <c r="A31">
        <v>46023</v>
      </c>
      <c r="B31">
        <v>2.9</v>
      </c>
      <c r="C31">
        <v>2.9</v>
      </c>
      <c r="D31">
        <v>0</v>
      </c>
      <c r="E31">
        <v>0</v>
      </c>
      <c r="F31">
        <v>0</v>
      </c>
      <c r="G31">
        <v>0</v>
      </c>
    </row>
    <row r="33" spans="1:9" x14ac:dyDescent="0.35">
      <c r="A33" s="61" t="s">
        <v>185</v>
      </c>
      <c r="B33" s="61"/>
      <c r="C33" s="61"/>
      <c r="D33" s="61"/>
      <c r="E33" s="61"/>
      <c r="F33" s="61"/>
      <c r="G33" s="61"/>
      <c r="H33" s="61"/>
      <c r="I33" s="61"/>
    </row>
    <row r="34" spans="1:9" x14ac:dyDescent="0.35">
      <c r="A34" t="s">
        <v>252</v>
      </c>
      <c r="B34" t="s">
        <v>253</v>
      </c>
      <c r="C34" t="s">
        <v>254</v>
      </c>
      <c r="D34" t="s">
        <v>255</v>
      </c>
      <c r="E34" t="s">
        <v>256</v>
      </c>
      <c r="F34" t="s">
        <v>246</v>
      </c>
      <c r="G34" t="s">
        <v>257</v>
      </c>
    </row>
    <row r="35" spans="1:9" x14ac:dyDescent="0.35">
      <c r="A35" t="s">
        <v>258</v>
      </c>
      <c r="B35">
        <v>10</v>
      </c>
      <c r="C35">
        <v>10</v>
      </c>
      <c r="D35">
        <v>10</v>
      </c>
      <c r="E35">
        <v>4</v>
      </c>
      <c r="F35">
        <v>1</v>
      </c>
      <c r="G35">
        <v>75</v>
      </c>
    </row>
    <row r="36" spans="1:9" x14ac:dyDescent="0.35">
      <c r="A36" t="s">
        <v>259</v>
      </c>
      <c r="B36">
        <v>5</v>
      </c>
      <c r="C36">
        <v>5</v>
      </c>
      <c r="D36">
        <v>5</v>
      </c>
      <c r="E36">
        <v>2</v>
      </c>
      <c r="F36">
        <v>0.7</v>
      </c>
      <c r="G36">
        <v>50</v>
      </c>
    </row>
    <row r="37" spans="1:9" x14ac:dyDescent="0.35">
      <c r="A37" t="s">
        <v>260</v>
      </c>
      <c r="B37">
        <v>1.19</v>
      </c>
      <c r="C37">
        <v>2.38</v>
      </c>
      <c r="D37">
        <v>1.79</v>
      </c>
      <c r="E37">
        <v>0</v>
      </c>
      <c r="F37">
        <v>0</v>
      </c>
      <c r="G37">
        <v>14</v>
      </c>
    </row>
    <row r="38" spans="1:9" x14ac:dyDescent="0.35">
      <c r="A38" t="s">
        <v>261</v>
      </c>
      <c r="B38">
        <v>4.82</v>
      </c>
      <c r="C38">
        <v>3.61</v>
      </c>
      <c r="D38">
        <v>4.22</v>
      </c>
      <c r="E38">
        <v>0</v>
      </c>
      <c r="F38">
        <v>0</v>
      </c>
      <c r="G38">
        <v>20</v>
      </c>
    </row>
    <row r="39" spans="1:9" x14ac:dyDescent="0.35">
      <c r="A39" t="s">
        <v>262</v>
      </c>
      <c r="B39">
        <v>3.7</v>
      </c>
      <c r="C39">
        <v>0</v>
      </c>
      <c r="D39">
        <v>1.85</v>
      </c>
      <c r="E39">
        <v>0</v>
      </c>
      <c r="F39">
        <v>0</v>
      </c>
      <c r="G39">
        <v>17</v>
      </c>
    </row>
    <row r="40" spans="1:9" x14ac:dyDescent="0.35">
      <c r="A40" t="s">
        <v>263</v>
      </c>
      <c r="B40">
        <v>3.61</v>
      </c>
      <c r="C40">
        <v>0</v>
      </c>
      <c r="D40">
        <v>1.81</v>
      </c>
      <c r="E40">
        <v>0</v>
      </c>
      <c r="F40">
        <v>0</v>
      </c>
      <c r="G40">
        <v>16</v>
      </c>
    </row>
    <row r="41" spans="1:9" x14ac:dyDescent="0.35">
      <c r="A41" t="s">
        <v>264</v>
      </c>
      <c r="B41">
        <v>3.57</v>
      </c>
      <c r="C41">
        <v>1.19</v>
      </c>
      <c r="D41">
        <v>2.38</v>
      </c>
      <c r="E41">
        <v>0</v>
      </c>
      <c r="F41">
        <v>0</v>
      </c>
      <c r="G41">
        <v>14</v>
      </c>
    </row>
    <row r="42" spans="1:9" x14ac:dyDescent="0.35">
      <c r="A42" t="s">
        <v>265</v>
      </c>
      <c r="B42">
        <v>2.38</v>
      </c>
      <c r="C42">
        <v>5.95</v>
      </c>
      <c r="D42">
        <v>4.17</v>
      </c>
      <c r="E42">
        <v>0</v>
      </c>
      <c r="F42">
        <v>0</v>
      </c>
      <c r="G42">
        <v>10</v>
      </c>
    </row>
    <row r="43" spans="1:9" x14ac:dyDescent="0.35">
      <c r="A43" t="s">
        <v>266</v>
      </c>
      <c r="B43">
        <v>2.35</v>
      </c>
      <c r="C43">
        <v>1.18</v>
      </c>
      <c r="D43">
        <v>1.76</v>
      </c>
      <c r="E43">
        <v>0</v>
      </c>
      <c r="F43">
        <v>0</v>
      </c>
      <c r="G43">
        <v>12</v>
      </c>
    </row>
    <row r="44" spans="1:9" x14ac:dyDescent="0.35">
      <c r="A44" t="s">
        <v>267</v>
      </c>
      <c r="B44">
        <v>3.53</v>
      </c>
      <c r="C44">
        <v>2.35</v>
      </c>
      <c r="D44">
        <v>2.94</v>
      </c>
      <c r="E44">
        <v>0</v>
      </c>
      <c r="F44">
        <v>0</v>
      </c>
      <c r="G44">
        <v>11</v>
      </c>
    </row>
    <row r="45" spans="1:9" x14ac:dyDescent="0.35">
      <c r="A45" t="s">
        <v>268</v>
      </c>
      <c r="B45">
        <v>4.76</v>
      </c>
      <c r="C45">
        <v>1.19</v>
      </c>
      <c r="D45">
        <v>2.98</v>
      </c>
      <c r="E45">
        <v>0</v>
      </c>
      <c r="F45">
        <v>0</v>
      </c>
      <c r="G45">
        <v>13</v>
      </c>
    </row>
    <row r="46" spans="1:9" x14ac:dyDescent="0.35">
      <c r="A46" t="s">
        <v>269</v>
      </c>
      <c r="B46">
        <v>2.38</v>
      </c>
      <c r="C46">
        <v>1.19</v>
      </c>
      <c r="D46">
        <v>1.79</v>
      </c>
      <c r="E46">
        <v>0</v>
      </c>
      <c r="F46">
        <v>0</v>
      </c>
      <c r="G46">
        <v>15</v>
      </c>
    </row>
    <row r="47" spans="1:9" x14ac:dyDescent="0.35">
      <c r="A47" t="s">
        <v>270</v>
      </c>
      <c r="B47">
        <v>1.22</v>
      </c>
      <c r="C47">
        <v>0</v>
      </c>
      <c r="D47">
        <v>0.61</v>
      </c>
      <c r="E47">
        <v>0</v>
      </c>
      <c r="F47">
        <v>0</v>
      </c>
      <c r="G47">
        <v>15</v>
      </c>
    </row>
    <row r="48" spans="1:9" x14ac:dyDescent="0.35">
      <c r="A48" t="s">
        <v>271</v>
      </c>
      <c r="B48">
        <v>2.35</v>
      </c>
      <c r="C48">
        <v>1.18</v>
      </c>
      <c r="D48">
        <v>1.76</v>
      </c>
      <c r="E48">
        <v>0</v>
      </c>
      <c r="F48">
        <v>0</v>
      </c>
      <c r="G48">
        <v>17</v>
      </c>
    </row>
    <row r="49" spans="1:7" x14ac:dyDescent="0.35">
      <c r="A49" t="s">
        <v>272</v>
      </c>
      <c r="B49">
        <v>2.41</v>
      </c>
      <c r="C49">
        <v>1.2</v>
      </c>
      <c r="D49">
        <v>1.81</v>
      </c>
      <c r="E49">
        <v>0</v>
      </c>
      <c r="F49">
        <v>0</v>
      </c>
      <c r="G49">
        <v>15</v>
      </c>
    </row>
    <row r="50" spans="1:7" x14ac:dyDescent="0.35">
      <c r="A50" t="s">
        <v>273</v>
      </c>
      <c r="B50">
        <v>3.66</v>
      </c>
      <c r="C50">
        <v>1.22</v>
      </c>
      <c r="D50">
        <v>2.44</v>
      </c>
      <c r="E50">
        <v>0</v>
      </c>
      <c r="F50">
        <v>0</v>
      </c>
      <c r="G50">
        <v>13</v>
      </c>
    </row>
    <row r="51" spans="1:7" x14ac:dyDescent="0.35">
      <c r="A51" t="s">
        <v>274</v>
      </c>
      <c r="B51">
        <v>0</v>
      </c>
      <c r="C51">
        <v>1.2</v>
      </c>
      <c r="D51">
        <v>0.6</v>
      </c>
      <c r="E51">
        <v>0</v>
      </c>
      <c r="F51">
        <v>0</v>
      </c>
      <c r="G51">
        <v>14</v>
      </c>
    </row>
    <row r="52" spans="1:7" x14ac:dyDescent="0.35">
      <c r="A52" t="s">
        <v>275</v>
      </c>
      <c r="B52">
        <v>3.61</v>
      </c>
      <c r="C52">
        <v>1.2</v>
      </c>
      <c r="D52">
        <v>2.41</v>
      </c>
      <c r="E52">
        <v>0</v>
      </c>
      <c r="F52">
        <v>0</v>
      </c>
      <c r="G52">
        <v>17</v>
      </c>
    </row>
    <row r="53" spans="1:7" x14ac:dyDescent="0.35">
      <c r="A53" t="s">
        <v>276</v>
      </c>
      <c r="B53">
        <v>3.61</v>
      </c>
      <c r="C53">
        <v>4.82</v>
      </c>
      <c r="D53">
        <v>4.22</v>
      </c>
      <c r="E53">
        <v>0</v>
      </c>
      <c r="F53">
        <v>0</v>
      </c>
      <c r="G53">
        <v>15</v>
      </c>
    </row>
    <row r="54" spans="1:7" x14ac:dyDescent="0.35">
      <c r="A54" t="s">
        <v>277</v>
      </c>
      <c r="B54">
        <v>2.35</v>
      </c>
      <c r="C54">
        <v>3.53</v>
      </c>
      <c r="D54">
        <v>2.94</v>
      </c>
      <c r="E54">
        <v>0</v>
      </c>
      <c r="F54">
        <v>0</v>
      </c>
      <c r="G54">
        <v>23</v>
      </c>
    </row>
    <row r="55" spans="1:7" x14ac:dyDescent="0.35">
      <c r="A55" t="s">
        <v>278</v>
      </c>
      <c r="B55">
        <v>2.38</v>
      </c>
      <c r="C55">
        <v>1.19</v>
      </c>
      <c r="D55">
        <v>1.79</v>
      </c>
      <c r="E55">
        <v>0</v>
      </c>
      <c r="F55">
        <v>0</v>
      </c>
      <c r="G55">
        <v>13</v>
      </c>
    </row>
    <row r="56" spans="1:7" x14ac:dyDescent="0.35">
      <c r="A56" t="s">
        <v>279</v>
      </c>
      <c r="B56">
        <v>1.18</v>
      </c>
      <c r="C56">
        <v>2.35</v>
      </c>
      <c r="D56">
        <v>1.76</v>
      </c>
      <c r="E56">
        <v>0</v>
      </c>
      <c r="F56">
        <v>0</v>
      </c>
      <c r="G56">
        <v>14</v>
      </c>
    </row>
    <row r="57" spans="1:7" x14ac:dyDescent="0.35">
      <c r="A57" t="s">
        <v>280</v>
      </c>
      <c r="B57">
        <v>2.38</v>
      </c>
      <c r="C57">
        <v>1.19</v>
      </c>
      <c r="D57">
        <v>1.79</v>
      </c>
      <c r="E57">
        <v>0</v>
      </c>
      <c r="F57">
        <v>0</v>
      </c>
      <c r="G57">
        <v>18</v>
      </c>
    </row>
    <row r="58" spans="1:7" x14ac:dyDescent="0.35">
      <c r="A58" t="s">
        <v>281</v>
      </c>
      <c r="B58">
        <v>1.22</v>
      </c>
      <c r="C58">
        <v>1.22</v>
      </c>
      <c r="D58">
        <v>1.22</v>
      </c>
      <c r="E58">
        <v>0</v>
      </c>
      <c r="F58">
        <v>0</v>
      </c>
      <c r="G58">
        <v>13</v>
      </c>
    </row>
    <row r="59" spans="1:7" x14ac:dyDescent="0.35">
      <c r="A59" t="s">
        <v>282</v>
      </c>
      <c r="B59">
        <v>2.44</v>
      </c>
      <c r="C59">
        <v>1.22</v>
      </c>
      <c r="D59">
        <v>1.83</v>
      </c>
      <c r="E59">
        <v>0</v>
      </c>
      <c r="F59">
        <v>0</v>
      </c>
      <c r="G59">
        <v>16</v>
      </c>
    </row>
    <row r="60" spans="1:7" x14ac:dyDescent="0.35">
      <c r="A60" t="s">
        <v>283</v>
      </c>
      <c r="B60">
        <v>0</v>
      </c>
      <c r="C60">
        <v>2.38</v>
      </c>
      <c r="D60">
        <v>1.19</v>
      </c>
      <c r="E60">
        <v>0</v>
      </c>
      <c r="F60">
        <v>0</v>
      </c>
      <c r="G60">
        <v>13</v>
      </c>
    </row>
  </sheetData>
  <mergeCells count="3">
    <mergeCell ref="A19:O19"/>
    <mergeCell ref="A4:W4"/>
    <mergeCell ref="A33:I3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30D6-4E53-49B0-B557-2BA3BB101D47}">
  <dimension ref="A1:P37"/>
  <sheetViews>
    <sheetView showGridLines="0" workbookViewId="0">
      <selection activeCell="B10" sqref="B10"/>
    </sheetView>
  </sheetViews>
  <sheetFormatPr defaultRowHeight="14.5" x14ac:dyDescent="0.35"/>
  <cols>
    <col min="1" max="2" width="17.1796875" customWidth="1"/>
    <col min="3" max="3" width="30.1796875" customWidth="1"/>
    <col min="4" max="4" width="23.81640625" customWidth="1"/>
  </cols>
  <sheetData>
    <row r="1" spans="1:16" x14ac:dyDescent="0.35">
      <c r="H1" s="11" t="s">
        <v>284</v>
      </c>
      <c r="I1" s="44" t="e">
        <f>#REF!-25%</f>
        <v>#REF!</v>
      </c>
    </row>
    <row r="2" spans="1:16" x14ac:dyDescent="0.35">
      <c r="H2" s="11" t="s">
        <v>285</v>
      </c>
      <c r="I2" s="44" t="e">
        <f>#REF!+25%</f>
        <v>#REF!</v>
      </c>
    </row>
    <row r="3" spans="1:16" x14ac:dyDescent="0.35">
      <c r="A3" t="s">
        <v>11</v>
      </c>
      <c r="C3" s="3" t="s">
        <v>286</v>
      </c>
      <c r="H3" s="11" t="s">
        <v>287</v>
      </c>
      <c r="I3" s="11" t="e">
        <f>#REF!-#REF!*0.5</f>
        <v>#REF!</v>
      </c>
    </row>
    <row r="4" spans="1:16" x14ac:dyDescent="0.35">
      <c r="H4" s="11" t="s">
        <v>288</v>
      </c>
      <c r="I4" s="11" t="e">
        <f>#REF!+#REF!*0.5</f>
        <v>#REF!</v>
      </c>
    </row>
    <row r="5" spans="1:16" x14ac:dyDescent="0.35">
      <c r="A5" s="15" t="s">
        <v>1</v>
      </c>
      <c r="B5" s="15" t="s">
        <v>3</v>
      </c>
      <c r="C5" s="16" t="s">
        <v>289</v>
      </c>
      <c r="D5" s="17" t="s">
        <v>290</v>
      </c>
      <c r="E5" s="31" t="s">
        <v>291</v>
      </c>
      <c r="F5" s="45" t="s">
        <v>292</v>
      </c>
      <c r="G5" s="46" t="s">
        <v>293</v>
      </c>
      <c r="H5" s="46" t="s">
        <v>12</v>
      </c>
      <c r="I5" s="62"/>
      <c r="J5" s="62"/>
      <c r="K5" s="62"/>
      <c r="L5" s="62"/>
      <c r="M5" s="62"/>
      <c r="N5" s="62"/>
      <c r="O5" s="62"/>
      <c r="P5" s="62"/>
    </row>
    <row r="6" spans="1:16" x14ac:dyDescent="0.35">
      <c r="A6" s="12" t="s">
        <v>294</v>
      </c>
      <c r="B6" s="12" t="s">
        <v>295</v>
      </c>
      <c r="C6" s="11">
        <v>58.1</v>
      </c>
      <c r="D6" s="13">
        <v>0.76</v>
      </c>
      <c r="F6" t="e">
        <f>IF(AND(#REF!&gt;$I$1,#REF!&lt; $I$2), 1, 0)</f>
        <v>#REF!</v>
      </c>
      <c r="G6" t="e">
        <f>IF(AND(#REF!&gt;$I$3,#REF!&lt; $I$4), 1, 0)</f>
        <v>#REF!</v>
      </c>
    </row>
    <row r="7" spans="1:16" x14ac:dyDescent="0.35">
      <c r="A7" s="12" t="s">
        <v>296</v>
      </c>
      <c r="B7" s="12" t="s">
        <v>295</v>
      </c>
      <c r="C7" s="11">
        <v>52.8</v>
      </c>
      <c r="D7" s="13">
        <v>0.97</v>
      </c>
      <c r="F7" t="e">
        <f>IF(AND(#REF!&gt;$I$1,#REF!&lt; $I$2), 1, 0)</f>
        <v>#REF!</v>
      </c>
      <c r="G7" t="e">
        <f>IF(AND(#REF!&gt;$I$3,#REF!&lt; $I$4), 1, 0)</f>
        <v>#REF!</v>
      </c>
    </row>
    <row r="8" spans="1:16" x14ac:dyDescent="0.35">
      <c r="A8" s="12" t="s">
        <v>51</v>
      </c>
      <c r="B8" s="12" t="s">
        <v>295</v>
      </c>
      <c r="C8" s="11">
        <v>35.700000000000003</v>
      </c>
      <c r="D8" s="13">
        <v>0.97</v>
      </c>
      <c r="F8" s="29" t="e">
        <f>IF(AND(#REF!&gt;$I$1,#REF!&lt; $I$2), 1, 0)</f>
        <v>#REF!</v>
      </c>
      <c r="G8" s="29" t="e">
        <f>IF(AND(#REF!&gt;$I$3,#REF!&lt; $I$4), 1, 0)</f>
        <v>#REF!</v>
      </c>
      <c r="H8" s="29"/>
    </row>
    <row r="9" spans="1:16" x14ac:dyDescent="0.35">
      <c r="A9" s="12" t="s">
        <v>297</v>
      </c>
      <c r="B9" s="12" t="s">
        <v>295</v>
      </c>
      <c r="C9" s="11">
        <v>29.4</v>
      </c>
      <c r="D9" s="13">
        <v>0.76</v>
      </c>
      <c r="F9" s="29" t="e">
        <f>IF(AND(#REF!&gt;$I$1,#REF!&lt; $I$2), 1, 0)</f>
        <v>#REF!</v>
      </c>
      <c r="G9" s="29" t="e">
        <f>IF(AND(#REF!&gt;$I$3,#REF!&lt; $I$4), 1, 0)</f>
        <v>#REF!</v>
      </c>
      <c r="H9" s="29"/>
    </row>
    <row r="10" spans="1:16" x14ac:dyDescent="0.35">
      <c r="A10" s="12" t="s">
        <v>298</v>
      </c>
      <c r="B10" s="12" t="s">
        <v>295</v>
      </c>
      <c r="C10" s="11">
        <v>21.8</v>
      </c>
      <c r="D10" s="13">
        <v>0.74</v>
      </c>
      <c r="F10" s="29" t="e">
        <f>IF(AND(#REF!&gt;$I$1,#REF!&lt; $I$2), 1, 0)</f>
        <v>#REF!</v>
      </c>
      <c r="G10" s="29" t="e">
        <f>IF(AND(#REF!&gt;$I$3,#REF!&lt; $I$4), 1, 0)</f>
        <v>#REF!</v>
      </c>
      <c r="H10" s="29"/>
    </row>
    <row r="11" spans="1:16" x14ac:dyDescent="0.35">
      <c r="A11" s="12" t="s">
        <v>95</v>
      </c>
      <c r="B11" s="12" t="s">
        <v>295</v>
      </c>
      <c r="C11" s="11">
        <v>19</v>
      </c>
      <c r="D11" s="13">
        <v>0.93</v>
      </c>
      <c r="F11" t="e">
        <f>IF(AND(#REF!&gt;$I$1,#REF!&lt; $I$2), 1, 0)</f>
        <v>#REF!</v>
      </c>
      <c r="G11" t="e">
        <f>IF(AND(#REF!&gt;$I$3,#REF!&lt; $I$4), 1, 0)</f>
        <v>#REF!</v>
      </c>
    </row>
    <row r="12" spans="1:16" x14ac:dyDescent="0.35">
      <c r="A12" s="12" t="s">
        <v>181</v>
      </c>
      <c r="B12" s="12" t="s">
        <v>295</v>
      </c>
      <c r="C12" s="11">
        <v>19</v>
      </c>
      <c r="D12" s="13">
        <v>0.65</v>
      </c>
      <c r="F12" s="29" t="e">
        <f>IF(AND(#REF!&gt;$I$1,#REF!&lt; $I$2), 1, 0)</f>
        <v>#REF!</v>
      </c>
      <c r="G12" s="29" t="e">
        <f>IF(AND(#REF!&gt;$I$3,#REF!&lt; $I$4), 1, 0)</f>
        <v>#REF!</v>
      </c>
      <c r="H12" s="29"/>
    </row>
    <row r="13" spans="1:16" x14ac:dyDescent="0.35">
      <c r="A13" s="12" t="s">
        <v>81</v>
      </c>
      <c r="B13" s="12" t="s">
        <v>295</v>
      </c>
      <c r="C13" s="11">
        <v>15.7</v>
      </c>
      <c r="D13" s="13">
        <v>0.8</v>
      </c>
      <c r="F13" t="e">
        <f>IF(AND(#REF!&gt;$I$1,#REF!&lt; $I$2), 1, 0)</f>
        <v>#REF!</v>
      </c>
      <c r="G13" t="e">
        <f>IF(AND(#REF!&gt;$I$3,#REF!&lt; $I$4), 1, 0)</f>
        <v>#REF!</v>
      </c>
    </row>
    <row r="14" spans="1:16" x14ac:dyDescent="0.35">
      <c r="A14" s="12" t="s">
        <v>299</v>
      </c>
      <c r="B14" s="12" t="s">
        <v>295</v>
      </c>
      <c r="C14" s="11">
        <v>12.5</v>
      </c>
      <c r="D14" s="14">
        <v>0.3</v>
      </c>
      <c r="F14" t="e">
        <f>IF(AND(#REF!&gt;$I$1,#REF!&lt; $I$2), 1, 0)</f>
        <v>#REF!</v>
      </c>
      <c r="G14" t="e">
        <f>IF(AND(#REF!&gt;$I$3,#REF!&lt; $I$4), 1, 0)</f>
        <v>#REF!</v>
      </c>
    </row>
    <row r="15" spans="1:16" x14ac:dyDescent="0.35">
      <c r="A15" s="12" t="s">
        <v>134</v>
      </c>
      <c r="B15" s="12" t="s">
        <v>295</v>
      </c>
      <c r="C15" s="11">
        <v>10.9</v>
      </c>
      <c r="D15" s="13">
        <v>1</v>
      </c>
      <c r="E15" t="s">
        <v>300</v>
      </c>
      <c r="F15" t="e">
        <f>IF(AND(#REF!&gt;$I$1,#REF!&lt; $I$2), 1, 0)</f>
        <v>#REF!</v>
      </c>
      <c r="G15" t="e">
        <f>IF(AND(#REF!&gt;$I$3,#REF!&lt; $I$4), 1, 0)</f>
        <v>#REF!</v>
      </c>
    </row>
    <row r="16" spans="1:16" x14ac:dyDescent="0.35">
      <c r="A16" s="12" t="s">
        <v>73</v>
      </c>
      <c r="B16" s="12" t="s">
        <v>295</v>
      </c>
      <c r="C16" s="11">
        <v>8.5</v>
      </c>
      <c r="D16" s="13">
        <v>0.73</v>
      </c>
      <c r="E16" t="s">
        <v>300</v>
      </c>
      <c r="F16" t="e">
        <f>IF(AND(#REF!&gt;$I$1,#REF!&lt; $I$2), 1, 0)</f>
        <v>#REF!</v>
      </c>
      <c r="G16" t="e">
        <f>IF(AND(#REF!&gt;$I$3,#REF!&lt; $I$4), 1, 0)</f>
        <v>#REF!</v>
      </c>
    </row>
    <row r="17" spans="1:7" x14ac:dyDescent="0.35">
      <c r="A17" s="12" t="s">
        <v>122</v>
      </c>
      <c r="B17" s="12" t="s">
        <v>295</v>
      </c>
      <c r="C17" s="11">
        <v>7.8</v>
      </c>
      <c r="D17" s="13">
        <v>1</v>
      </c>
      <c r="F17" t="e">
        <f>IF(AND(#REF!&gt;$I$1,#REF!&lt; $I$2), 1, 0)</f>
        <v>#REF!</v>
      </c>
      <c r="G17" t="e">
        <f>IF(AND(#REF!&gt;$I$3,#REF!&lt; $I$4), 1, 0)</f>
        <v>#REF!</v>
      </c>
    </row>
    <row r="18" spans="1:7" x14ac:dyDescent="0.35">
      <c r="A18" s="12" t="s">
        <v>301</v>
      </c>
      <c r="B18" s="12" t="s">
        <v>295</v>
      </c>
      <c r="C18" s="11">
        <v>7.2</v>
      </c>
      <c r="D18" s="13">
        <v>1</v>
      </c>
      <c r="F18" t="e">
        <f>IF(AND(#REF!&gt;$I$1,#REF!&lt; $I$2), 1, 0)</f>
        <v>#REF!</v>
      </c>
      <c r="G18" t="e">
        <f>IF(AND(#REF!&gt;$I$3,#REF!&lt; $I$4), 1, 0)</f>
        <v>#REF!</v>
      </c>
    </row>
    <row r="19" spans="1:7" x14ac:dyDescent="0.35">
      <c r="A19" s="18" t="s">
        <v>153</v>
      </c>
      <c r="B19" s="12" t="s">
        <v>295</v>
      </c>
      <c r="C19" s="19">
        <v>10.3</v>
      </c>
      <c r="D19" s="43">
        <v>1</v>
      </c>
      <c r="F19" t="e">
        <f>IF(AND(#REF!&gt;$I$1,#REF!&lt; $I$2), 1, 0)</f>
        <v>#REF!</v>
      </c>
      <c r="G19" t="e">
        <f>IF(AND(#REF!&gt;$I$3,#REF!&lt; $I$4), 1, 0)</f>
        <v>#REF!</v>
      </c>
    </row>
    <row r="20" spans="1:7" x14ac:dyDescent="0.35">
      <c r="A20" s="18" t="s">
        <v>44</v>
      </c>
      <c r="B20" s="12" t="s">
        <v>295</v>
      </c>
      <c r="C20" s="19">
        <v>1.8</v>
      </c>
      <c r="D20" s="20">
        <v>0</v>
      </c>
      <c r="F20" t="e">
        <f>IF(AND(#REF!&gt;$I$1,#REF!&lt; $I$2), 1, 0)</f>
        <v>#REF!</v>
      </c>
      <c r="G20" t="e">
        <f>IF(AND(#REF!&gt;$I$3,#REF!&lt; $I$4), 1, 0)</f>
        <v>#REF!</v>
      </c>
    </row>
    <row r="21" spans="1:7" x14ac:dyDescent="0.35">
      <c r="A21" s="18" t="s">
        <v>31</v>
      </c>
      <c r="B21" s="12" t="s">
        <v>295</v>
      </c>
      <c r="C21" s="19">
        <v>9.6</v>
      </c>
      <c r="D21" s="20">
        <v>0.36</v>
      </c>
      <c r="F21" t="e">
        <f>IF(AND(#REF!&gt;$I$1,#REF!&lt; $I$2), 1, 0)</f>
        <v>#REF!</v>
      </c>
      <c r="G21" t="e">
        <f>IF(AND(#REF!&gt;$I$3,#REF!&lt; $I$4), 1, 0)</f>
        <v>#REF!</v>
      </c>
    </row>
    <row r="22" spans="1:7" x14ac:dyDescent="0.35">
      <c r="A22" s="12" t="s">
        <v>294</v>
      </c>
      <c r="B22" s="12" t="s">
        <v>302</v>
      </c>
      <c r="C22" s="11">
        <v>55.6</v>
      </c>
      <c r="D22" s="13">
        <v>0.76</v>
      </c>
    </row>
    <row r="23" spans="1:7" x14ac:dyDescent="0.35">
      <c r="A23" s="12" t="s">
        <v>296</v>
      </c>
      <c r="B23" s="12" t="s">
        <v>302</v>
      </c>
      <c r="C23" s="11">
        <v>53</v>
      </c>
      <c r="D23" s="13">
        <v>0.97</v>
      </c>
    </row>
    <row r="24" spans="1:7" x14ac:dyDescent="0.35">
      <c r="A24" s="12" t="s">
        <v>51</v>
      </c>
      <c r="B24" s="12" t="s">
        <v>302</v>
      </c>
      <c r="C24" s="11">
        <v>35</v>
      </c>
      <c r="D24" s="13">
        <v>0.96699999999999997</v>
      </c>
    </row>
    <row r="25" spans="1:7" x14ac:dyDescent="0.35">
      <c r="A25" s="12" t="s">
        <v>297</v>
      </c>
      <c r="B25" s="12" t="s">
        <v>302</v>
      </c>
      <c r="C25" s="11">
        <v>30.36</v>
      </c>
      <c r="D25" s="13">
        <v>0.77200000000000002</v>
      </c>
    </row>
    <row r="26" spans="1:7" x14ac:dyDescent="0.35">
      <c r="A26" s="12" t="s">
        <v>298</v>
      </c>
      <c r="B26" s="12" t="s">
        <v>302</v>
      </c>
      <c r="C26" s="11">
        <v>21.6</v>
      </c>
      <c r="D26" s="13">
        <v>0.72599999999999998</v>
      </c>
    </row>
    <row r="27" spans="1:7" x14ac:dyDescent="0.35">
      <c r="A27" s="12" t="s">
        <v>95</v>
      </c>
      <c r="B27" s="12" t="s">
        <v>302</v>
      </c>
      <c r="C27" s="11">
        <v>15</v>
      </c>
      <c r="D27" s="13">
        <v>0.92900000000000005</v>
      </c>
    </row>
    <row r="28" spans="1:7" x14ac:dyDescent="0.35">
      <c r="A28" s="12" t="s">
        <v>181</v>
      </c>
      <c r="B28" s="12" t="s">
        <v>302</v>
      </c>
      <c r="C28" s="11">
        <v>18</v>
      </c>
      <c r="D28" s="13">
        <v>0.68799999999999994</v>
      </c>
    </row>
    <row r="29" spans="1:7" x14ac:dyDescent="0.35">
      <c r="A29" s="12" t="s">
        <v>81</v>
      </c>
      <c r="B29" s="12" t="s">
        <v>302</v>
      </c>
      <c r="C29" s="11">
        <v>14</v>
      </c>
      <c r="D29" s="13">
        <v>0.77</v>
      </c>
    </row>
    <row r="30" spans="1:7" x14ac:dyDescent="0.35">
      <c r="A30" s="12" t="s">
        <v>299</v>
      </c>
      <c r="B30" s="12" t="s">
        <v>302</v>
      </c>
      <c r="C30" s="11">
        <v>12</v>
      </c>
      <c r="D30" s="13">
        <v>0.28999999999999998</v>
      </c>
    </row>
    <row r="31" spans="1:7" x14ac:dyDescent="0.35">
      <c r="A31" s="12" t="s">
        <v>134</v>
      </c>
      <c r="B31" s="12" t="s">
        <v>302</v>
      </c>
      <c r="C31" s="11">
        <v>10.9</v>
      </c>
      <c r="D31" s="13">
        <v>1</v>
      </c>
    </row>
    <row r="32" spans="1:7" x14ac:dyDescent="0.35">
      <c r="A32" s="12" t="s">
        <v>73</v>
      </c>
      <c r="B32" s="12" t="s">
        <v>302</v>
      </c>
      <c r="C32" s="11">
        <v>8.5</v>
      </c>
      <c r="D32" s="13">
        <v>0.73</v>
      </c>
    </row>
    <row r="33" spans="1:4" x14ac:dyDescent="0.35">
      <c r="A33" s="12" t="s">
        <v>122</v>
      </c>
      <c r="B33" s="12" t="s">
        <v>302</v>
      </c>
      <c r="C33" s="11">
        <v>7.7</v>
      </c>
      <c r="D33" s="13">
        <v>1</v>
      </c>
    </row>
    <row r="34" spans="1:4" x14ac:dyDescent="0.35">
      <c r="A34" s="12" t="s">
        <v>301</v>
      </c>
      <c r="B34" s="12" t="s">
        <v>302</v>
      </c>
      <c r="C34" s="11">
        <v>7.55</v>
      </c>
      <c r="D34" s="13">
        <v>1</v>
      </c>
    </row>
    <row r="35" spans="1:4" x14ac:dyDescent="0.35">
      <c r="A35" s="12" t="s">
        <v>153</v>
      </c>
      <c r="B35" s="12" t="s">
        <v>302</v>
      </c>
      <c r="C35" s="11">
        <v>9.3000000000000007</v>
      </c>
      <c r="D35" s="13">
        <v>1</v>
      </c>
    </row>
    <row r="36" spans="1:4" x14ac:dyDescent="0.35">
      <c r="A36" s="12" t="s">
        <v>44</v>
      </c>
      <c r="B36" s="12" t="s">
        <v>302</v>
      </c>
      <c r="C36" s="11">
        <v>1.9</v>
      </c>
      <c r="D36" s="13">
        <v>0</v>
      </c>
    </row>
    <row r="37" spans="1:4" x14ac:dyDescent="0.35">
      <c r="A37" s="18" t="s">
        <v>31</v>
      </c>
      <c r="B37" s="12" t="s">
        <v>302</v>
      </c>
      <c r="C37" s="19">
        <v>8</v>
      </c>
      <c r="D37" s="20">
        <v>0.36</v>
      </c>
    </row>
  </sheetData>
  <mergeCells count="1">
    <mergeCell ref="I5:P5"/>
  </mergeCells>
  <phoneticPr fontId="5" type="noConversion"/>
  <hyperlinks>
    <hyperlink ref="C3" r:id="rId1" display="https://myportal.cdp.net/discloser/responses" xr:uid="{E6F4C81A-243E-4603-A6C8-9E07A2BE7C01}"/>
  </hyperlinks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7697-3A19-497A-8FDF-5ED5A72FEBBF}">
  <dimension ref="A1:Q28"/>
  <sheetViews>
    <sheetView showGridLines="0" workbookViewId="0">
      <selection activeCell="A12" sqref="A12"/>
    </sheetView>
  </sheetViews>
  <sheetFormatPr defaultRowHeight="14.5" x14ac:dyDescent="0.35"/>
  <cols>
    <col min="1" max="1" width="17.1796875" customWidth="1"/>
    <col min="2" max="2" width="30.1796875" customWidth="1"/>
    <col min="3" max="3" width="23.81640625" customWidth="1"/>
    <col min="4" max="4" width="25.453125" customWidth="1"/>
    <col min="5" max="5" width="25.54296875" customWidth="1"/>
  </cols>
  <sheetData>
    <row r="1" spans="1:17" x14ac:dyDescent="0.35">
      <c r="I1" s="11" t="s">
        <v>284</v>
      </c>
      <c r="J1" s="44">
        <f>E9-25%</f>
        <v>0.52200000000000002</v>
      </c>
    </row>
    <row r="2" spans="1:17" x14ac:dyDescent="0.35">
      <c r="I2" s="11" t="s">
        <v>285</v>
      </c>
      <c r="J2" s="44">
        <f>E9+25%</f>
        <v>1.022</v>
      </c>
    </row>
    <row r="3" spans="1:17" x14ac:dyDescent="0.35">
      <c r="A3" t="s">
        <v>11</v>
      </c>
      <c r="B3" s="3" t="s">
        <v>286</v>
      </c>
      <c r="I3" s="11" t="s">
        <v>287</v>
      </c>
      <c r="J3" s="11">
        <f>D9-D9*0.5</f>
        <v>15.18</v>
      </c>
    </row>
    <row r="4" spans="1:17" x14ac:dyDescent="0.35">
      <c r="I4" s="11" t="s">
        <v>288</v>
      </c>
      <c r="J4" s="11">
        <f>D9+D9*0.5</f>
        <v>45.54</v>
      </c>
    </row>
    <row r="5" spans="1:17" x14ac:dyDescent="0.35">
      <c r="A5" s="15" t="s">
        <v>1</v>
      </c>
      <c r="B5" s="16" t="s">
        <v>303</v>
      </c>
      <c r="C5" s="17" t="s">
        <v>304</v>
      </c>
      <c r="D5" s="31" t="s">
        <v>305</v>
      </c>
      <c r="E5" s="40" t="s">
        <v>306</v>
      </c>
      <c r="F5" s="31" t="s">
        <v>291</v>
      </c>
      <c r="G5" s="45" t="s">
        <v>292</v>
      </c>
      <c r="H5" s="46" t="s">
        <v>293</v>
      </c>
      <c r="I5" s="46" t="s">
        <v>12</v>
      </c>
      <c r="J5" s="62"/>
      <c r="K5" s="62"/>
      <c r="L5" s="62"/>
      <c r="M5" s="62"/>
      <c r="N5" s="62"/>
      <c r="O5" s="62"/>
      <c r="P5" s="62"/>
      <c r="Q5" s="62"/>
    </row>
    <row r="6" spans="1:17" x14ac:dyDescent="0.35">
      <c r="A6" s="12" t="s">
        <v>294</v>
      </c>
      <c r="B6" s="11">
        <v>58.1</v>
      </c>
      <c r="C6" s="13">
        <v>0.76</v>
      </c>
      <c r="D6">
        <v>55.6</v>
      </c>
      <c r="E6" s="13">
        <v>0.76</v>
      </c>
      <c r="G6">
        <f>IF(AND(CSP_BF6[[#This Row],[BF-BOF Share_FY25/CY24]]&gt;$J$1, CSP_BF6[[#This Row],[BF-BOF Share_FY25/CY24]]&lt;$J$2), 1, 0)</f>
        <v>1</v>
      </c>
      <c r="H6">
        <f>IF(AND(CSP_BF6[[#This Row],[Total CS production_FY25/CY24]]&gt;$J$3, CSP_BF6[[#This Row],[Total CS production_FY25/CY24]]&lt;$J$4), 1, 0)</f>
        <v>0</v>
      </c>
    </row>
    <row r="7" spans="1:17" x14ac:dyDescent="0.35">
      <c r="A7" s="12" t="s">
        <v>296</v>
      </c>
      <c r="B7" s="11">
        <v>52.8</v>
      </c>
      <c r="C7" s="13">
        <v>0.97</v>
      </c>
      <c r="D7">
        <v>53</v>
      </c>
      <c r="E7" s="13">
        <v>0.97</v>
      </c>
      <c r="G7">
        <f>IF(AND(CSP_BF6[[#This Row],[BF-BOF Share_FY25/CY24]]&gt;$J$1, CSP_BF6[[#This Row],[BF-BOF Share_FY25/CY24]]&lt;$J$2), 1, 0)</f>
        <v>1</v>
      </c>
      <c r="H7">
        <f>IF(AND(CSP_BF6[[#This Row],[Total CS production_FY25/CY24]]&gt;$J$3, CSP_BF6[[#This Row],[Total CS production_FY25/CY24]]&lt;$J$4), 1, 0)</f>
        <v>0</v>
      </c>
    </row>
    <row r="8" spans="1:17" x14ac:dyDescent="0.35">
      <c r="A8" s="12" t="s">
        <v>51</v>
      </c>
      <c r="B8" s="11">
        <v>35.700000000000003</v>
      </c>
      <c r="C8" s="13">
        <v>0.97</v>
      </c>
      <c r="D8">
        <v>35</v>
      </c>
      <c r="E8" s="42">
        <v>0.96699999999999997</v>
      </c>
      <c r="G8" s="29">
        <f>IF(AND(CSP_BF6[[#This Row],[BF-BOF Share_FY25/CY24]]&gt;$J$1, CSP_BF6[[#This Row],[BF-BOF Share_FY25/CY24]]&lt;$J$2), 1, 0)</f>
        <v>1</v>
      </c>
      <c r="H8" s="29">
        <f>IF(AND(CSP_BF6[[#This Row],[Total CS production_FY25/CY24]]&gt;$J$3, CSP_BF6[[#This Row],[Total CS production_FY25/CY24]]&lt;$J$4), 1, 0)</f>
        <v>1</v>
      </c>
      <c r="I8" s="29"/>
    </row>
    <row r="9" spans="1:17" x14ac:dyDescent="0.35">
      <c r="A9" s="12" t="s">
        <v>297</v>
      </c>
      <c r="B9" s="11">
        <v>29.4</v>
      </c>
      <c r="C9" s="13">
        <v>0.76</v>
      </c>
      <c r="D9">
        <v>30.36</v>
      </c>
      <c r="E9" s="42">
        <v>0.77200000000000002</v>
      </c>
      <c r="G9" s="29">
        <f>IF(AND(CSP_BF6[[#This Row],[BF-BOF Share_FY25/CY24]]&gt;$J$1, CSP_BF6[[#This Row],[BF-BOF Share_FY25/CY24]]&lt;$J$2), 1, 0)</f>
        <v>1</v>
      </c>
      <c r="H9" s="29">
        <f>IF(AND(CSP_BF6[[#This Row],[Total CS production_FY25/CY24]]&gt;$J$3, CSP_BF6[[#This Row],[Total CS production_FY25/CY24]]&lt;$J$4), 1, 0)</f>
        <v>1</v>
      </c>
      <c r="I9" s="29"/>
    </row>
    <row r="10" spans="1:17" x14ac:dyDescent="0.35">
      <c r="A10" s="12" t="s">
        <v>307</v>
      </c>
      <c r="B10" s="11">
        <v>23.5</v>
      </c>
      <c r="C10" s="13">
        <v>0.98</v>
      </c>
      <c r="I10" t="s">
        <v>308</v>
      </c>
    </row>
    <row r="11" spans="1:17" x14ac:dyDescent="0.35">
      <c r="A11" s="12" t="s">
        <v>298</v>
      </c>
      <c r="B11" s="11">
        <v>21.8</v>
      </c>
      <c r="C11" s="13">
        <v>0.74</v>
      </c>
      <c r="D11">
        <v>21.6</v>
      </c>
      <c r="E11" s="42">
        <v>0.72599999999999998</v>
      </c>
      <c r="G11" s="29">
        <f>IF(AND(CSP_BF6[[#This Row],[BF-BOF Share_FY25/CY24]]&gt;$J$1, CSP_BF6[[#This Row],[BF-BOF Share_FY25/CY24]]&lt;$J$2), 1, 0)</f>
        <v>1</v>
      </c>
      <c r="H11" s="29">
        <f>IF(AND(CSP_BF6[[#This Row],[Total CS production_FY25/CY24]]&gt;$J$3, CSP_BF6[[#This Row],[Total CS production_FY25/CY24]]&lt;$J$4), 1, 0)</f>
        <v>1</v>
      </c>
      <c r="I11" s="29"/>
    </row>
    <row r="12" spans="1:17" x14ac:dyDescent="0.35">
      <c r="A12" s="12" t="s">
        <v>95</v>
      </c>
      <c r="B12" s="11">
        <v>19</v>
      </c>
      <c r="C12" s="13">
        <v>0.93</v>
      </c>
      <c r="D12">
        <v>15</v>
      </c>
      <c r="E12" s="42">
        <v>0.92900000000000005</v>
      </c>
      <c r="G12">
        <f>IF(AND(CSP_BF6[[#This Row],[BF-BOF Share_FY25/CY24]]&gt;$J$1, CSP_BF6[[#This Row],[BF-BOF Share_FY25/CY24]]&lt;$J$2), 1, 0)</f>
        <v>1</v>
      </c>
      <c r="H12">
        <f>IF(AND(CSP_BF6[[#This Row],[Total CS production_FY25/CY24]]&gt;$J$3, CSP_BF6[[#This Row],[Total CS production_FY25/CY24]]&lt;$J$4), 1, 0)</f>
        <v>0</v>
      </c>
    </row>
    <row r="13" spans="1:17" x14ac:dyDescent="0.35">
      <c r="A13" s="12" t="s">
        <v>181</v>
      </c>
      <c r="B13" s="11">
        <v>19</v>
      </c>
      <c r="C13" s="13">
        <v>0.65</v>
      </c>
      <c r="D13">
        <v>18</v>
      </c>
      <c r="E13" s="42">
        <v>0.68799999999999994</v>
      </c>
      <c r="G13" s="29">
        <f>IF(AND(CSP_BF6[[#This Row],[BF-BOF Share_FY25/CY24]]&gt;$J$1, CSP_BF6[[#This Row],[BF-BOF Share_FY25/CY24]]&lt;$J$2), 1, 0)</f>
        <v>1</v>
      </c>
      <c r="H13" s="29">
        <f>IF(AND(CSP_BF6[[#This Row],[Total CS production_FY25/CY24]]&gt;$J$3, CSP_BF6[[#This Row],[Total CS production_FY25/CY24]]&lt;$J$4), 1, 0)</f>
        <v>1</v>
      </c>
      <c r="I13" s="29"/>
    </row>
    <row r="14" spans="1:17" x14ac:dyDescent="0.35">
      <c r="A14" s="12" t="s">
        <v>81</v>
      </c>
      <c r="B14" s="11">
        <v>15.7</v>
      </c>
      <c r="C14" s="13">
        <v>0.8</v>
      </c>
      <c r="D14">
        <v>14</v>
      </c>
      <c r="E14" s="43">
        <v>0.77</v>
      </c>
      <c r="G14">
        <f>IF(AND(CSP_BF6[[#This Row],[BF-BOF Share_FY25/CY24]]&gt;$J$1, CSP_BF6[[#This Row],[BF-BOF Share_FY25/CY24]]&lt;$J$2), 1, 0)</f>
        <v>1</v>
      </c>
      <c r="H14">
        <f>IF(AND(CSP_BF6[[#This Row],[Total CS production_FY25/CY24]]&gt;$J$3, CSP_BF6[[#This Row],[Total CS production_FY25/CY24]]&lt;$J$4), 1, 0)</f>
        <v>0</v>
      </c>
    </row>
    <row r="15" spans="1:17" x14ac:dyDescent="0.35">
      <c r="A15" s="12" t="s">
        <v>309</v>
      </c>
      <c r="B15" s="11">
        <v>14.7</v>
      </c>
      <c r="C15" s="13">
        <v>0.95</v>
      </c>
      <c r="I15" t="s">
        <v>310</v>
      </c>
    </row>
    <row r="16" spans="1:17" x14ac:dyDescent="0.35">
      <c r="A16" s="12" t="s">
        <v>299</v>
      </c>
      <c r="B16" s="11">
        <v>12.5</v>
      </c>
      <c r="C16" s="14">
        <v>0.3</v>
      </c>
      <c r="D16">
        <v>12</v>
      </c>
      <c r="E16" s="43">
        <v>0.28999999999999998</v>
      </c>
      <c r="G16">
        <f>IF(AND(CSP_BF6[[#This Row],[BF-BOF Share_FY25/CY24]]&gt;$J$1, CSP_BF6[[#This Row],[BF-BOF Share_FY25/CY24]]&lt;$J$2), 1, 0)</f>
        <v>0</v>
      </c>
      <c r="H16">
        <f>IF(AND(CSP_BF6[[#This Row],[Total CS production_FY25/CY24]]&gt;$J$3, CSP_BF6[[#This Row],[Total CS production_FY25/CY24]]&lt;$J$4), 1, 0)</f>
        <v>0</v>
      </c>
    </row>
    <row r="17" spans="1:9" x14ac:dyDescent="0.35">
      <c r="A17" s="12" t="s">
        <v>134</v>
      </c>
      <c r="B17" s="11">
        <v>10.9</v>
      </c>
      <c r="C17" s="13">
        <v>1</v>
      </c>
      <c r="D17" s="11">
        <v>10.9</v>
      </c>
      <c r="E17" s="13">
        <v>1</v>
      </c>
      <c r="F17" t="s">
        <v>300</v>
      </c>
      <c r="G17">
        <f>IF(AND(CSP_BF6[[#This Row],[BF-BOF Share_FY25/CY24]]&gt;$J$1, CSP_BF6[[#This Row],[BF-BOF Share_FY25/CY24]]&lt;$J$2), 1, 0)</f>
        <v>1</v>
      </c>
      <c r="H17">
        <f>IF(AND(CSP_BF6[[#This Row],[Total CS production_FY25/CY24]]&gt;$J$3, CSP_BF6[[#This Row],[Total CS production_FY25/CY24]]&lt;$J$4), 1, 0)</f>
        <v>0</v>
      </c>
    </row>
    <row r="18" spans="1:9" x14ac:dyDescent="0.35">
      <c r="A18" s="12" t="s">
        <v>73</v>
      </c>
      <c r="B18" s="11">
        <v>8.5</v>
      </c>
      <c r="C18" s="13">
        <v>0.73</v>
      </c>
      <c r="D18" s="11">
        <v>8.5</v>
      </c>
      <c r="E18" s="13">
        <v>0.73</v>
      </c>
      <c r="F18" t="s">
        <v>300</v>
      </c>
      <c r="G18">
        <f>IF(AND(CSP_BF6[[#This Row],[BF-BOF Share_FY25/CY24]]&gt;$J$1, CSP_BF6[[#This Row],[BF-BOF Share_FY25/CY24]]&lt;$J$2), 1, 0)</f>
        <v>1</v>
      </c>
      <c r="H18">
        <f>IF(AND(CSP_BF6[[#This Row],[Total CS production_FY25/CY24]]&gt;$J$3, CSP_BF6[[#This Row],[Total CS production_FY25/CY24]]&lt;$J$4), 1, 0)</f>
        <v>0</v>
      </c>
    </row>
    <row r="19" spans="1:9" x14ac:dyDescent="0.35">
      <c r="A19" s="12" t="s">
        <v>122</v>
      </c>
      <c r="B19" s="11">
        <v>7.8</v>
      </c>
      <c r="C19" s="13">
        <v>1</v>
      </c>
      <c r="D19">
        <v>7.7</v>
      </c>
      <c r="E19" s="43">
        <v>1</v>
      </c>
      <c r="G19">
        <f>IF(AND(CSP_BF6[[#This Row],[BF-BOF Share_FY25/CY24]]&gt;$J$1, CSP_BF6[[#This Row],[BF-BOF Share_FY25/CY24]]&lt;$J$2), 1, 0)</f>
        <v>1</v>
      </c>
      <c r="H19">
        <f>IF(AND(CSP_BF6[[#This Row],[Total CS production_FY25/CY24]]&gt;$J$3, CSP_BF6[[#This Row],[Total CS production_FY25/CY24]]&lt;$J$4), 1, 0)</f>
        <v>0</v>
      </c>
    </row>
    <row r="20" spans="1:9" x14ac:dyDescent="0.35">
      <c r="A20" s="12" t="s">
        <v>301</v>
      </c>
      <c r="B20" s="11">
        <v>7.2</v>
      </c>
      <c r="C20" s="13">
        <v>1</v>
      </c>
      <c r="D20">
        <v>7.55</v>
      </c>
      <c r="E20" s="13">
        <v>1</v>
      </c>
      <c r="G20">
        <f>IF(AND(CSP_BF6[[#This Row],[BF-BOF Share_FY25/CY24]]&gt;$J$1, CSP_BF6[[#This Row],[BF-BOF Share_FY25/CY24]]&lt;$J$2), 1, 0)</f>
        <v>1</v>
      </c>
      <c r="H20">
        <f>IF(AND(CSP_BF6[[#This Row],[Total CS production_FY25/CY24]]&gt;$J$3, CSP_BF6[[#This Row],[Total CS production_FY25/CY24]]&lt;$J$4), 1, 0)</f>
        <v>0</v>
      </c>
    </row>
    <row r="21" spans="1:9" x14ac:dyDescent="0.35">
      <c r="A21" s="12" t="s">
        <v>311</v>
      </c>
      <c r="B21" s="11">
        <v>6.5</v>
      </c>
      <c r="C21" s="13">
        <v>0.48</v>
      </c>
      <c r="I21" t="s">
        <v>312</v>
      </c>
    </row>
    <row r="22" spans="1:9" x14ac:dyDescent="0.35">
      <c r="A22" s="12" t="s">
        <v>313</v>
      </c>
      <c r="B22" s="11">
        <v>6.1</v>
      </c>
      <c r="C22" s="13">
        <v>0.95</v>
      </c>
      <c r="I22" t="s">
        <v>314</v>
      </c>
    </row>
    <row r="23" spans="1:9" x14ac:dyDescent="0.35">
      <c r="A23" s="12" t="s">
        <v>315</v>
      </c>
      <c r="B23" s="11">
        <v>4.5</v>
      </c>
      <c r="C23" s="13">
        <v>0.81</v>
      </c>
      <c r="I23" t="s">
        <v>316</v>
      </c>
    </row>
    <row r="24" spans="1:9" x14ac:dyDescent="0.35">
      <c r="A24" s="12" t="s">
        <v>317</v>
      </c>
      <c r="B24" s="11">
        <v>4.5</v>
      </c>
      <c r="C24" s="13">
        <v>0.91</v>
      </c>
      <c r="I24" t="s">
        <v>318</v>
      </c>
    </row>
    <row r="25" spans="1:9" x14ac:dyDescent="0.35">
      <c r="A25" s="18" t="s">
        <v>319</v>
      </c>
      <c r="B25" s="19">
        <v>4.0999999999999996</v>
      </c>
      <c r="C25" s="20">
        <v>0.71</v>
      </c>
      <c r="I25" t="s">
        <v>320</v>
      </c>
    </row>
    <row r="26" spans="1:9" x14ac:dyDescent="0.35">
      <c r="A26" s="18" t="s">
        <v>153</v>
      </c>
      <c r="B26" s="19"/>
      <c r="C26" s="20"/>
      <c r="D26">
        <v>9.3000000000000007</v>
      </c>
      <c r="E26" s="43">
        <v>1</v>
      </c>
      <c r="G26">
        <f>IF(AND(CSP_BF6[[#This Row],[BF-BOF Share_FY25/CY24]]&gt;$J$1, CSP_BF6[[#This Row],[BF-BOF Share_FY25/CY24]]&lt;$J$2), 1, 0)</f>
        <v>1</v>
      </c>
      <c r="H26">
        <f>IF(AND(CSP_BF6[[#This Row],[Total CS production_FY25/CY24]]&gt;$J$3, CSP_BF6[[#This Row],[Total CS production_FY25/CY24]]&lt;$J$4), 1, 0)</f>
        <v>0</v>
      </c>
    </row>
    <row r="27" spans="1:9" x14ac:dyDescent="0.35">
      <c r="A27" s="18" t="s">
        <v>44</v>
      </c>
      <c r="B27" s="19"/>
      <c r="C27" s="20"/>
      <c r="D27">
        <v>1.9</v>
      </c>
      <c r="E27" s="42">
        <v>0</v>
      </c>
      <c r="G27">
        <f>IF(AND(CSP_BF6[[#This Row],[BF-BOF Share_FY25/CY24]]&gt;$J$1, CSP_BF6[[#This Row],[BF-BOF Share_FY25/CY24]]&lt;$J$2), 1, 0)</f>
        <v>0</v>
      </c>
      <c r="H27">
        <f>IF(AND(CSP_BF6[[#This Row],[Total CS production_FY25/CY24]]&gt;$J$3, CSP_BF6[[#This Row],[Total CS production_FY25/CY24]]&lt;$J$4), 1, 0)</f>
        <v>0</v>
      </c>
    </row>
    <row r="28" spans="1:9" x14ac:dyDescent="0.35">
      <c r="A28" s="18" t="s">
        <v>31</v>
      </c>
      <c r="B28" s="19"/>
      <c r="C28" s="20"/>
      <c r="D28">
        <v>8</v>
      </c>
      <c r="E28" s="43">
        <v>0.36</v>
      </c>
      <c r="G28">
        <f>IF(AND(CSP_BF6[[#This Row],[BF-BOF Share_FY25/CY24]]&gt;$J$1, CSP_BF6[[#This Row],[BF-BOF Share_FY25/CY24]]&lt;$J$2), 1, 0)</f>
        <v>0</v>
      </c>
      <c r="H28">
        <f>IF(AND(CSP_BF6[[#This Row],[Total CS production_FY25/CY24]]&gt;$J$3, CSP_BF6[[#This Row],[Total CS production_FY25/CY24]]&lt;$J$4), 1, 0)</f>
        <v>0</v>
      </c>
    </row>
  </sheetData>
  <mergeCells count="1">
    <mergeCell ref="J5:Q5"/>
  </mergeCells>
  <hyperlinks>
    <hyperlink ref="B3" r:id="rId1" display="https://myportal.cdp.net/discloser/responses" xr:uid="{A8C22EFA-C2F7-43E3-9EA5-912668DFB54F}"/>
  </hyperlinks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9D1F-FB4F-48A7-9E12-4EF69ACBA145}">
  <dimension ref="A2:K27"/>
  <sheetViews>
    <sheetView workbookViewId="0">
      <selection activeCell="C7" sqref="C7"/>
    </sheetView>
  </sheetViews>
  <sheetFormatPr defaultRowHeight="14.5" x14ac:dyDescent="0.35"/>
  <cols>
    <col min="3" max="3" width="21.26953125" customWidth="1"/>
    <col min="4" max="4" width="18.453125" hidden="1" customWidth="1"/>
    <col min="5" max="5" width="17.7265625" hidden="1" customWidth="1"/>
    <col min="6" max="6" width="18" hidden="1" customWidth="1"/>
    <col min="7" max="7" width="18.54296875" customWidth="1"/>
    <col min="8" max="8" width="18" customWidth="1"/>
    <col min="9" max="9" width="18.26953125" customWidth="1"/>
  </cols>
  <sheetData>
    <row r="2" spans="1:11" x14ac:dyDescent="0.35">
      <c r="A2" s="1" t="s">
        <v>202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13</v>
      </c>
    </row>
    <row r="3" spans="1:11" x14ac:dyDescent="0.35">
      <c r="A3" t="s">
        <v>185</v>
      </c>
      <c r="B3" t="s">
        <v>16</v>
      </c>
      <c r="C3" s="2">
        <v>10.01</v>
      </c>
      <c r="D3" s="2"/>
      <c r="E3" s="2"/>
      <c r="F3" s="2"/>
      <c r="G3" s="2">
        <v>0.22</v>
      </c>
      <c r="H3" s="8">
        <v>0.92</v>
      </c>
      <c r="I3" s="8">
        <v>0.66</v>
      </c>
      <c r="K3" s="2" t="s">
        <v>321</v>
      </c>
    </row>
    <row r="4" spans="1:11" hidden="1" x14ac:dyDescent="0.35">
      <c r="A4" t="s">
        <v>185</v>
      </c>
      <c r="B4" t="s">
        <v>18</v>
      </c>
      <c r="C4" s="2">
        <v>10.486397999999999</v>
      </c>
      <c r="D4" s="2"/>
      <c r="E4" s="2"/>
      <c r="F4" s="2"/>
      <c r="G4" s="2">
        <v>0.184</v>
      </c>
      <c r="H4" s="6">
        <v>0.64</v>
      </c>
      <c r="I4" s="2">
        <v>0.57999999999999996</v>
      </c>
      <c r="K4" s="2" t="s">
        <v>322</v>
      </c>
    </row>
    <row r="5" spans="1:11" hidden="1" x14ac:dyDescent="0.35">
      <c r="A5" t="s">
        <v>185</v>
      </c>
      <c r="B5" t="s">
        <v>21</v>
      </c>
      <c r="C5" s="2">
        <v>10.701164</v>
      </c>
      <c r="D5" s="2"/>
      <c r="E5" s="2"/>
      <c r="F5" s="2"/>
      <c r="G5" s="8">
        <v>0.19</v>
      </c>
      <c r="H5" s="6">
        <v>0.53733088757249237</v>
      </c>
      <c r="I5" s="6">
        <v>0.48558294886451819</v>
      </c>
      <c r="K5" s="2" t="s">
        <v>323</v>
      </c>
    </row>
    <row r="6" spans="1:11" hidden="1" x14ac:dyDescent="0.35">
      <c r="A6" t="s">
        <v>185</v>
      </c>
      <c r="B6" t="s">
        <v>23</v>
      </c>
      <c r="C6" s="2">
        <v>10.647121</v>
      </c>
      <c r="D6" s="2"/>
      <c r="E6" s="2"/>
      <c r="F6" s="2"/>
      <c r="G6" s="8">
        <v>0.23</v>
      </c>
      <c r="H6" s="2">
        <v>0.57999999999999996</v>
      </c>
      <c r="I6" s="2">
        <v>0.54</v>
      </c>
      <c r="K6" s="2" t="s">
        <v>324</v>
      </c>
    </row>
    <row r="7" spans="1:11" x14ac:dyDescent="0.35">
      <c r="A7" t="s">
        <v>189</v>
      </c>
      <c r="B7" t="s">
        <v>16</v>
      </c>
      <c r="C7" s="2">
        <v>6.57</v>
      </c>
      <c r="D7" s="2"/>
      <c r="E7" s="2"/>
      <c r="F7" s="2"/>
      <c r="G7" s="8">
        <v>0.28999999999999998</v>
      </c>
      <c r="H7" s="8">
        <v>1.52</v>
      </c>
      <c r="I7" s="8">
        <v>0.88</v>
      </c>
      <c r="K7" s="2" t="s">
        <v>325</v>
      </c>
    </row>
    <row r="8" spans="1:11" hidden="1" x14ac:dyDescent="0.35">
      <c r="A8" t="s">
        <v>189</v>
      </c>
      <c r="B8" t="s">
        <v>18</v>
      </c>
      <c r="C8" s="2">
        <v>4.3885829999999997</v>
      </c>
      <c r="D8" s="2"/>
      <c r="E8" s="2"/>
      <c r="F8" s="2"/>
      <c r="G8" s="2">
        <v>0.34899999999999998</v>
      </c>
      <c r="H8" s="8">
        <v>1.0900000000000001</v>
      </c>
      <c r="I8" s="6">
        <v>0.68992652050467562</v>
      </c>
      <c r="K8" s="2" t="s">
        <v>326</v>
      </c>
    </row>
    <row r="9" spans="1:11" hidden="1" x14ac:dyDescent="0.35">
      <c r="A9" t="s">
        <v>189</v>
      </c>
      <c r="B9" t="s">
        <v>21</v>
      </c>
      <c r="C9" s="2">
        <v>3.4647290000000002</v>
      </c>
      <c r="D9" s="2"/>
      <c r="E9" s="2"/>
      <c r="F9" s="2"/>
      <c r="G9" s="8">
        <v>0.48</v>
      </c>
      <c r="H9" s="2">
        <v>0.87718702000019322</v>
      </c>
      <c r="I9" s="6">
        <v>0.62330685364282701</v>
      </c>
      <c r="K9" s="2" t="s">
        <v>327</v>
      </c>
    </row>
    <row r="10" spans="1:11" hidden="1" x14ac:dyDescent="0.35">
      <c r="A10" t="s">
        <v>189</v>
      </c>
      <c r="B10" t="s">
        <v>23</v>
      </c>
      <c r="C10" s="2">
        <v>3.365767</v>
      </c>
      <c r="D10" s="2"/>
      <c r="E10" s="2"/>
      <c r="F10" s="2"/>
      <c r="G10" s="8">
        <v>0.43</v>
      </c>
      <c r="H10" s="2">
        <v>0.7</v>
      </c>
      <c r="I10" s="2">
        <v>0.69</v>
      </c>
      <c r="K10" s="2" t="s">
        <v>328</v>
      </c>
    </row>
    <row r="11" spans="1:11" x14ac:dyDescent="0.35">
      <c r="A11" t="s">
        <v>191</v>
      </c>
      <c r="B11" t="s">
        <v>16</v>
      </c>
      <c r="C11" s="2">
        <v>5.21</v>
      </c>
      <c r="D11" s="2"/>
      <c r="E11" s="2"/>
      <c r="F11" s="2"/>
      <c r="G11" s="8">
        <v>0.5</v>
      </c>
      <c r="H11" s="8">
        <v>5.38</v>
      </c>
      <c r="I11" s="8">
        <v>1.72</v>
      </c>
      <c r="K11" s="2" t="s">
        <v>329</v>
      </c>
    </row>
    <row r="12" spans="1:11" hidden="1" x14ac:dyDescent="0.35">
      <c r="A12" t="s">
        <v>191</v>
      </c>
      <c r="B12" t="s">
        <v>18</v>
      </c>
      <c r="C12" s="2">
        <v>5.1950099999999999</v>
      </c>
      <c r="D12" s="2"/>
      <c r="E12" s="2"/>
      <c r="F12" s="2"/>
      <c r="G12" s="8">
        <v>0.45900000000000002</v>
      </c>
      <c r="H12" s="2">
        <v>3.34</v>
      </c>
      <c r="I12" s="2">
        <v>1.465078224594567</v>
      </c>
      <c r="K12" s="2" t="s">
        <v>330</v>
      </c>
    </row>
    <row r="13" spans="1:11" hidden="1" x14ac:dyDescent="0.35">
      <c r="A13" t="s">
        <v>191</v>
      </c>
      <c r="B13" t="s">
        <v>21</v>
      </c>
      <c r="C13" s="2">
        <v>5.1585450000000002</v>
      </c>
      <c r="D13" s="2"/>
      <c r="E13" s="2"/>
      <c r="F13" s="2"/>
      <c r="G13" s="8">
        <v>0.47</v>
      </c>
      <c r="H13" s="2">
        <v>3.5746494965061184</v>
      </c>
      <c r="I13" s="2">
        <v>1.6982235088019573</v>
      </c>
      <c r="K13" s="2" t="s">
        <v>331</v>
      </c>
    </row>
    <row r="14" spans="1:11" hidden="1" x14ac:dyDescent="0.35">
      <c r="A14" t="s">
        <v>191</v>
      </c>
      <c r="B14" t="s">
        <v>23</v>
      </c>
      <c r="C14" s="2">
        <v>4.9529966749999996</v>
      </c>
      <c r="D14" s="2"/>
      <c r="E14" s="2"/>
      <c r="F14" s="2"/>
      <c r="G14" s="2">
        <v>0.48</v>
      </c>
      <c r="H14" s="2">
        <v>3.75</v>
      </c>
      <c r="I14" s="2">
        <v>1.55</v>
      </c>
      <c r="K14" s="2" t="s">
        <v>332</v>
      </c>
    </row>
    <row r="15" spans="1:11" x14ac:dyDescent="0.35">
      <c r="A15" t="s">
        <v>196</v>
      </c>
      <c r="B15" t="s">
        <v>16</v>
      </c>
      <c r="C15" s="2">
        <v>0.69599999999999995</v>
      </c>
      <c r="D15" s="2"/>
      <c r="E15" s="2"/>
      <c r="F15" s="2"/>
      <c r="G15" s="8">
        <v>1.06</v>
      </c>
      <c r="H15" s="8">
        <v>6.55</v>
      </c>
      <c r="I15" s="8">
        <v>1.65</v>
      </c>
      <c r="K15" s="2" t="s">
        <v>333</v>
      </c>
    </row>
    <row r="16" spans="1:11" hidden="1" x14ac:dyDescent="0.35">
      <c r="A16" t="s">
        <v>196</v>
      </c>
      <c r="B16" t="s">
        <v>18</v>
      </c>
      <c r="C16" s="2">
        <v>0.65590499999999996</v>
      </c>
      <c r="D16" s="2"/>
      <c r="E16" s="2"/>
      <c r="F16" s="2"/>
      <c r="G16" s="8">
        <v>0.98399999999999999</v>
      </c>
      <c r="H16" s="2">
        <v>5.83</v>
      </c>
      <c r="I16" s="2">
        <v>1.56</v>
      </c>
      <c r="K16" s="2" t="s">
        <v>334</v>
      </c>
    </row>
    <row r="17" spans="1:11" hidden="1" x14ac:dyDescent="0.35">
      <c r="A17" t="s">
        <v>196</v>
      </c>
      <c r="B17" t="s">
        <v>21</v>
      </c>
      <c r="C17" s="2">
        <v>0.79705899999999996</v>
      </c>
      <c r="D17" s="2"/>
      <c r="E17" s="2"/>
      <c r="F17" s="2"/>
      <c r="G17" s="8">
        <v>1.1200000000000001</v>
      </c>
      <c r="H17" s="2">
        <v>6.95359559781095</v>
      </c>
      <c r="I17" s="2">
        <v>1.6813544309197073</v>
      </c>
      <c r="K17" s="2" t="s">
        <v>335</v>
      </c>
    </row>
    <row r="18" spans="1:11" hidden="1" x14ac:dyDescent="0.35">
      <c r="A18" t="s">
        <v>196</v>
      </c>
      <c r="B18" t="s">
        <v>23</v>
      </c>
      <c r="C18" s="2">
        <v>0.70794299999999999</v>
      </c>
      <c r="D18" s="2"/>
      <c r="E18" s="2"/>
      <c r="F18" s="2"/>
      <c r="G18" s="2">
        <v>1.21</v>
      </c>
      <c r="H18" s="2">
        <v>1.72</v>
      </c>
      <c r="I18" s="2">
        <v>9.09</v>
      </c>
      <c r="K18" s="2" t="s">
        <v>336</v>
      </c>
    </row>
    <row r="19" spans="1:11" x14ac:dyDescent="0.35">
      <c r="A19" t="s">
        <v>226</v>
      </c>
      <c r="B19" t="s">
        <v>16</v>
      </c>
      <c r="C19" s="2">
        <v>0.95499999999999996</v>
      </c>
      <c r="D19" s="2"/>
      <c r="E19" s="2"/>
      <c r="F19" s="2"/>
      <c r="G19" s="2">
        <v>0.33590513460214971</v>
      </c>
      <c r="H19" s="2">
        <v>2.3543476384493478</v>
      </c>
      <c r="I19" s="2">
        <v>1.3007871425232524</v>
      </c>
      <c r="K19" s="2" t="s">
        <v>337</v>
      </c>
    </row>
    <row r="20" spans="1:11" hidden="1" x14ac:dyDescent="0.35">
      <c r="A20" t="s">
        <v>226</v>
      </c>
      <c r="B20" t="s">
        <v>18</v>
      </c>
      <c r="C20" s="2">
        <v>0.95256399999999997</v>
      </c>
      <c r="D20" s="2"/>
      <c r="E20" s="2"/>
      <c r="F20" s="2"/>
      <c r="G20" s="2">
        <v>0.42</v>
      </c>
      <c r="H20" s="2">
        <v>1.92</v>
      </c>
      <c r="I20" s="2">
        <v>1.08</v>
      </c>
      <c r="K20" s="2" t="s">
        <v>338</v>
      </c>
    </row>
    <row r="21" spans="1:11" hidden="1" x14ac:dyDescent="0.35">
      <c r="A21" t="s">
        <v>226</v>
      </c>
      <c r="B21" t="s">
        <v>21</v>
      </c>
      <c r="C21" s="2">
        <v>0.66298599999999996</v>
      </c>
      <c r="D21" s="2"/>
      <c r="E21" s="2"/>
      <c r="F21" s="2"/>
      <c r="G21" s="2">
        <v>0.44</v>
      </c>
      <c r="H21" s="2">
        <v>1.51</v>
      </c>
      <c r="I21" s="2">
        <v>0.41</v>
      </c>
      <c r="K21" s="2" t="s">
        <v>339</v>
      </c>
    </row>
    <row r="22" spans="1:11" hidden="1" x14ac:dyDescent="0.35">
      <c r="A22" t="s">
        <v>140</v>
      </c>
      <c r="B22" t="s">
        <v>52</v>
      </c>
      <c r="C22" s="2">
        <v>0</v>
      </c>
      <c r="D22" s="2"/>
      <c r="E22" s="2"/>
      <c r="F22" s="2"/>
      <c r="G22" s="2">
        <v>2E-3</v>
      </c>
      <c r="H22" s="2">
        <v>4.0000000000000001E-3</v>
      </c>
      <c r="I22" s="2">
        <v>0.16600000000000001</v>
      </c>
      <c r="K22" s="2" t="s">
        <v>340</v>
      </c>
    </row>
    <row r="23" spans="1:11" hidden="1" x14ac:dyDescent="0.35">
      <c r="A23" t="s">
        <v>140</v>
      </c>
      <c r="B23" t="s">
        <v>56</v>
      </c>
      <c r="C23" s="2">
        <v>1.07</v>
      </c>
      <c r="D23" s="2"/>
      <c r="E23" s="2"/>
      <c r="F23" s="2"/>
      <c r="G23" s="2">
        <v>0.45</v>
      </c>
      <c r="H23" s="2">
        <v>1.01</v>
      </c>
      <c r="I23" s="2">
        <v>0.89</v>
      </c>
      <c r="K23" s="2" t="s">
        <v>341</v>
      </c>
    </row>
    <row r="24" spans="1:11" hidden="1" x14ac:dyDescent="0.35">
      <c r="A24" t="s">
        <v>140</v>
      </c>
      <c r="B24" t="s">
        <v>59</v>
      </c>
      <c r="C24" s="2">
        <v>2.99</v>
      </c>
      <c r="D24" s="2"/>
      <c r="E24" s="2"/>
      <c r="F24" s="2"/>
      <c r="G24" s="2">
        <v>0.28999999999999998</v>
      </c>
      <c r="H24" s="2">
        <v>1.38</v>
      </c>
      <c r="I24" s="2">
        <v>1.3</v>
      </c>
      <c r="K24" s="2" t="s">
        <v>342</v>
      </c>
    </row>
    <row r="25" spans="1:11" hidden="1" x14ac:dyDescent="0.35">
      <c r="A25" t="s">
        <v>146</v>
      </c>
      <c r="B25" t="s">
        <v>52</v>
      </c>
      <c r="C25" s="2">
        <v>6.69</v>
      </c>
      <c r="D25" s="2"/>
      <c r="E25" s="2"/>
      <c r="F25" s="2"/>
      <c r="G25" s="2">
        <v>0.21</v>
      </c>
      <c r="H25" s="2">
        <v>0.47</v>
      </c>
      <c r="I25" s="2">
        <v>0.85</v>
      </c>
      <c r="K25" s="2" t="s">
        <v>343</v>
      </c>
    </row>
    <row r="26" spans="1:11" hidden="1" x14ac:dyDescent="0.35">
      <c r="A26" t="s">
        <v>146</v>
      </c>
      <c r="B26" t="s">
        <v>56</v>
      </c>
      <c r="C26" s="2">
        <v>6.75</v>
      </c>
      <c r="D26" s="2"/>
      <c r="E26" s="2"/>
      <c r="F26" s="2"/>
      <c r="G26" s="2">
        <v>0.23</v>
      </c>
      <c r="H26" s="2">
        <v>0.45</v>
      </c>
      <c r="I26" s="2">
        <v>0.79</v>
      </c>
      <c r="K26" s="2" t="s">
        <v>344</v>
      </c>
    </row>
    <row r="27" spans="1:11" hidden="1" x14ac:dyDescent="0.35">
      <c r="A27" t="s">
        <v>146</v>
      </c>
      <c r="B27" t="s">
        <v>59</v>
      </c>
      <c r="C27" s="2">
        <v>4.8099999999999996</v>
      </c>
      <c r="D27" s="2"/>
      <c r="E27" s="2"/>
      <c r="F27" s="2"/>
      <c r="G27" s="2">
        <v>0.31</v>
      </c>
      <c r="H27" s="2">
        <v>0.6</v>
      </c>
      <c r="I27" s="2">
        <v>0.9</v>
      </c>
      <c r="K27" s="2" t="s">
        <v>345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020D-D9E8-41B0-9C69-4AED85B05C5A}">
  <dimension ref="A2:I48"/>
  <sheetViews>
    <sheetView showGridLines="0" workbookViewId="0">
      <selection activeCell="F6" sqref="F6"/>
    </sheetView>
  </sheetViews>
  <sheetFormatPr defaultRowHeight="14.5" x14ac:dyDescent="0.35"/>
  <cols>
    <col min="2" max="2" width="11.81640625" bestFit="1" customWidth="1"/>
    <col min="4" max="4" width="19.26953125" bestFit="1" customWidth="1"/>
    <col min="5" max="5" width="18.7265625" bestFit="1" customWidth="1"/>
    <col min="6" max="6" width="19" bestFit="1" customWidth="1"/>
  </cols>
  <sheetData>
    <row r="2" spans="2:9" x14ac:dyDescent="0.35">
      <c r="B2" s="29" t="s">
        <v>346</v>
      </c>
      <c r="C2" s="29" t="s">
        <v>3</v>
      </c>
      <c r="D2" s="29" t="s">
        <v>158</v>
      </c>
      <c r="E2" s="29" t="s">
        <v>159</v>
      </c>
      <c r="F2" s="29" t="s">
        <v>160</v>
      </c>
      <c r="H2" s="29" t="s">
        <v>18</v>
      </c>
    </row>
    <row r="3" spans="2:9" x14ac:dyDescent="0.35">
      <c r="B3" s="11" t="s">
        <v>161</v>
      </c>
      <c r="C3" s="11" t="s">
        <v>16</v>
      </c>
      <c r="D3" s="32">
        <v>0.33</v>
      </c>
      <c r="E3" s="32">
        <v>2.2999999999999998</v>
      </c>
      <c r="F3" s="32">
        <v>1</v>
      </c>
    </row>
    <row r="4" spans="2:9" x14ac:dyDescent="0.35">
      <c r="B4" s="11" t="s">
        <v>161</v>
      </c>
      <c r="C4" s="11" t="s">
        <v>18</v>
      </c>
      <c r="D4" s="32">
        <v>0.31</v>
      </c>
      <c r="E4" s="32">
        <v>1.62</v>
      </c>
      <c r="F4" s="32">
        <v>0.86</v>
      </c>
      <c r="H4" s="29" t="s">
        <v>1</v>
      </c>
      <c r="I4" s="29" t="s">
        <v>347</v>
      </c>
    </row>
    <row r="5" spans="2:9" x14ac:dyDescent="0.35">
      <c r="B5" s="11" t="s">
        <v>161</v>
      </c>
      <c r="C5" s="11" t="s">
        <v>21</v>
      </c>
      <c r="D5" s="32">
        <v>0.35</v>
      </c>
      <c r="E5" s="32">
        <v>1.63</v>
      </c>
      <c r="F5" s="32">
        <v>0.87</v>
      </c>
      <c r="G5" t="s">
        <v>348</v>
      </c>
      <c r="H5" s="11" t="s">
        <v>15</v>
      </c>
      <c r="I5" s="32">
        <v>0.31</v>
      </c>
    </row>
    <row r="6" spans="2:9" x14ac:dyDescent="0.35">
      <c r="B6" s="11" t="s">
        <v>165</v>
      </c>
      <c r="C6" s="11" t="s">
        <v>16</v>
      </c>
      <c r="D6" s="32"/>
      <c r="E6" s="32"/>
      <c r="F6" s="32"/>
      <c r="H6" s="11" t="s">
        <v>36</v>
      </c>
      <c r="I6" s="32">
        <v>0.36</v>
      </c>
    </row>
    <row r="7" spans="2:9" x14ac:dyDescent="0.35">
      <c r="B7" s="11" t="s">
        <v>165</v>
      </c>
      <c r="C7" s="11" t="s">
        <v>18</v>
      </c>
      <c r="D7" s="32">
        <v>0.56000000000000005</v>
      </c>
      <c r="E7" s="32">
        <v>0.95</v>
      </c>
      <c r="F7" s="32">
        <v>0.8</v>
      </c>
      <c r="H7" s="11" t="s">
        <v>25</v>
      </c>
      <c r="I7" s="32">
        <v>0.56000000000000005</v>
      </c>
    </row>
    <row r="8" spans="2:9" x14ac:dyDescent="0.35">
      <c r="B8" s="11" t="s">
        <v>165</v>
      </c>
      <c r="C8" s="11" t="s">
        <v>21</v>
      </c>
      <c r="D8" s="32">
        <v>0.57999999999999996</v>
      </c>
      <c r="E8" s="32">
        <v>1.1000000000000001</v>
      </c>
      <c r="F8" s="32">
        <v>0.76</v>
      </c>
      <c r="H8" s="11" t="s">
        <v>31</v>
      </c>
      <c r="I8" s="32">
        <v>0.59</v>
      </c>
    </row>
    <row r="9" spans="2:9" x14ac:dyDescent="0.35">
      <c r="B9" s="11" t="s">
        <v>168</v>
      </c>
      <c r="C9" s="11" t="s">
        <v>16</v>
      </c>
      <c r="D9" s="32"/>
      <c r="E9" s="32"/>
      <c r="F9" s="32"/>
      <c r="H9" s="11" t="s">
        <v>128</v>
      </c>
      <c r="I9" s="32">
        <v>0.66118784530386732</v>
      </c>
    </row>
    <row r="10" spans="2:9" x14ac:dyDescent="0.35">
      <c r="B10" s="11" t="s">
        <v>168</v>
      </c>
      <c r="C10" s="11" t="s">
        <v>18</v>
      </c>
      <c r="D10" s="32">
        <v>0.59</v>
      </c>
      <c r="E10" s="32">
        <v>3.88</v>
      </c>
      <c r="F10" s="32">
        <v>1.79</v>
      </c>
      <c r="H10" s="11" t="s">
        <v>44</v>
      </c>
      <c r="I10" s="32">
        <v>0.67487147071217868</v>
      </c>
    </row>
    <row r="11" spans="2:9" x14ac:dyDescent="0.35">
      <c r="B11" s="11" t="s">
        <v>168</v>
      </c>
      <c r="C11" s="11" t="s">
        <v>21</v>
      </c>
      <c r="D11" s="32">
        <v>0.6</v>
      </c>
      <c r="E11" s="32">
        <v>3.7</v>
      </c>
      <c r="F11" s="32">
        <v>1.95</v>
      </c>
    </row>
    <row r="12" spans="2:9" x14ac:dyDescent="0.35">
      <c r="B12" s="11" t="s">
        <v>171</v>
      </c>
      <c r="C12" s="11" t="s">
        <v>16</v>
      </c>
      <c r="D12" s="32">
        <v>0.33</v>
      </c>
      <c r="E12" s="32">
        <v>1.34</v>
      </c>
      <c r="F12" s="32">
        <v>1.03</v>
      </c>
      <c r="G12" t="s">
        <v>349</v>
      </c>
      <c r="H12" s="11" t="s">
        <v>25</v>
      </c>
      <c r="I12" s="32">
        <v>0.95</v>
      </c>
    </row>
    <row r="13" spans="2:9" x14ac:dyDescent="0.35">
      <c r="B13" s="11" t="s">
        <v>171</v>
      </c>
      <c r="C13" s="11" t="s">
        <v>18</v>
      </c>
      <c r="D13" s="32">
        <v>0.36</v>
      </c>
      <c r="E13" s="32">
        <v>1.51</v>
      </c>
      <c r="F13" s="32">
        <v>1.0900000000000001</v>
      </c>
      <c r="H13" s="11" t="s">
        <v>36</v>
      </c>
      <c r="I13" s="32">
        <v>1.51</v>
      </c>
    </row>
    <row r="14" spans="2:9" x14ac:dyDescent="0.35">
      <c r="B14" s="11" t="s">
        <v>171</v>
      </c>
      <c r="C14" s="11" t="s">
        <v>21</v>
      </c>
      <c r="D14" s="32">
        <v>0.38</v>
      </c>
      <c r="E14" s="32">
        <v>1.66</v>
      </c>
      <c r="F14" s="32">
        <v>1.19</v>
      </c>
      <c r="H14" s="11" t="s">
        <v>15</v>
      </c>
      <c r="I14" s="32">
        <v>1.62</v>
      </c>
    </row>
    <row r="15" spans="2:9" x14ac:dyDescent="0.35">
      <c r="B15" s="11" t="s">
        <v>174</v>
      </c>
      <c r="C15" s="11" t="s">
        <v>16</v>
      </c>
      <c r="D15" s="32"/>
      <c r="E15" s="32"/>
      <c r="F15" s="32"/>
      <c r="H15" s="11" t="s">
        <v>44</v>
      </c>
      <c r="I15" s="32">
        <v>1.9303371260008426</v>
      </c>
    </row>
    <row r="16" spans="2:9" x14ac:dyDescent="0.35">
      <c r="B16" s="11" t="s">
        <v>174</v>
      </c>
      <c r="C16" s="11" t="s">
        <v>18</v>
      </c>
      <c r="D16" s="32">
        <v>0.67487147071217868</v>
      </c>
      <c r="E16" s="32">
        <v>1.9303371260008426</v>
      </c>
      <c r="F16" s="32">
        <v>1.0650990307627477</v>
      </c>
      <c r="H16" s="11" t="s">
        <v>128</v>
      </c>
      <c r="I16" s="32">
        <v>2.2472375690607733</v>
      </c>
    </row>
    <row r="17" spans="2:9" x14ac:dyDescent="0.35">
      <c r="B17" s="11" t="s">
        <v>174</v>
      </c>
      <c r="C17" s="11" t="s">
        <v>21</v>
      </c>
      <c r="D17" s="32">
        <v>0.60380275862068966</v>
      </c>
      <c r="E17" s="32">
        <v>1.4124432183908047</v>
      </c>
      <c r="F17" s="32">
        <v>0.81957701149425299</v>
      </c>
      <c r="H17" s="11" t="s">
        <v>31</v>
      </c>
      <c r="I17" s="32">
        <v>3.88</v>
      </c>
    </row>
    <row r="18" spans="2:9" x14ac:dyDescent="0.35">
      <c r="B18" s="11" t="s">
        <v>180</v>
      </c>
      <c r="C18" s="11" t="s">
        <v>16</v>
      </c>
      <c r="D18" s="32"/>
      <c r="E18" s="32"/>
      <c r="F18" s="32"/>
    </row>
    <row r="19" spans="2:9" x14ac:dyDescent="0.35">
      <c r="B19" s="11" t="s">
        <v>180</v>
      </c>
      <c r="C19" s="11" t="s">
        <v>18</v>
      </c>
      <c r="D19" s="32">
        <v>0.66118784530386732</v>
      </c>
      <c r="E19" s="32">
        <v>2.2472375690607733</v>
      </c>
      <c r="F19" s="32">
        <v>1.6085635359116022</v>
      </c>
      <c r="G19" t="s">
        <v>350</v>
      </c>
      <c r="H19" s="11" t="s">
        <v>25</v>
      </c>
      <c r="I19" s="32">
        <v>0.8</v>
      </c>
    </row>
    <row r="20" spans="2:9" x14ac:dyDescent="0.35">
      <c r="B20" s="19" t="s">
        <v>180</v>
      </c>
      <c r="C20" s="19" t="s">
        <v>21</v>
      </c>
      <c r="D20" s="49">
        <v>0.51236979166666674</v>
      </c>
      <c r="E20" s="49">
        <v>0.53541666666666676</v>
      </c>
      <c r="F20" s="49">
        <v>0.75533854166666681</v>
      </c>
      <c r="H20" s="11" t="s">
        <v>15</v>
      </c>
      <c r="I20" s="32">
        <v>0.86</v>
      </c>
    </row>
    <row r="21" spans="2:9" x14ac:dyDescent="0.35">
      <c r="H21" s="11" t="s">
        <v>44</v>
      </c>
      <c r="I21" s="32">
        <v>1.0650990307627477</v>
      </c>
    </row>
    <row r="22" spans="2:9" x14ac:dyDescent="0.35">
      <c r="H22" s="11" t="s">
        <v>36</v>
      </c>
      <c r="I22" s="32">
        <v>1.0900000000000001</v>
      </c>
    </row>
    <row r="23" spans="2:9" x14ac:dyDescent="0.35">
      <c r="H23" s="11" t="s">
        <v>128</v>
      </c>
      <c r="I23" s="32">
        <v>1.6085635359116022</v>
      </c>
    </row>
    <row r="24" spans="2:9" x14ac:dyDescent="0.35">
      <c r="H24" s="11" t="s">
        <v>31</v>
      </c>
      <c r="I24" s="32">
        <v>1.79</v>
      </c>
    </row>
    <row r="25" spans="2:9" x14ac:dyDescent="0.35">
      <c r="B25" s="29" t="s">
        <v>1</v>
      </c>
      <c r="C25" s="29" t="s">
        <v>3</v>
      </c>
      <c r="D25" s="29" t="s">
        <v>158</v>
      </c>
      <c r="E25" s="29" t="s">
        <v>159</v>
      </c>
      <c r="F25" s="29" t="s">
        <v>160</v>
      </c>
    </row>
    <row r="26" spans="2:9" x14ac:dyDescent="0.35">
      <c r="B26" s="11" t="s">
        <v>25</v>
      </c>
      <c r="C26" s="11" t="s">
        <v>18</v>
      </c>
      <c r="D26" s="32">
        <v>0.56000000000000005</v>
      </c>
      <c r="E26" s="32">
        <v>0.95</v>
      </c>
      <c r="F26" s="32">
        <v>0.8</v>
      </c>
    </row>
    <row r="27" spans="2:9" x14ac:dyDescent="0.35">
      <c r="B27" s="11" t="s">
        <v>15</v>
      </c>
      <c r="C27" s="11" t="s">
        <v>18</v>
      </c>
      <c r="D27" s="32">
        <v>0.31</v>
      </c>
      <c r="E27" s="32">
        <v>1.62</v>
      </c>
      <c r="F27" s="32">
        <v>0.86</v>
      </c>
    </row>
    <row r="28" spans="2:9" x14ac:dyDescent="0.35">
      <c r="B28" s="11" t="s">
        <v>44</v>
      </c>
      <c r="C28" s="11" t="s">
        <v>18</v>
      </c>
      <c r="D28" s="32">
        <v>0.67487147071217868</v>
      </c>
      <c r="E28" s="32">
        <v>1.9303371260008426</v>
      </c>
      <c r="F28" s="32">
        <v>1.0650990307627477</v>
      </c>
    </row>
    <row r="29" spans="2:9" x14ac:dyDescent="0.35">
      <c r="B29" s="11" t="s">
        <v>36</v>
      </c>
      <c r="C29" s="11" t="s">
        <v>18</v>
      </c>
      <c r="D29" s="32">
        <v>0.36</v>
      </c>
      <c r="E29" s="32">
        <v>1.51</v>
      </c>
      <c r="F29" s="32">
        <v>1.0900000000000001</v>
      </c>
    </row>
    <row r="30" spans="2:9" x14ac:dyDescent="0.35">
      <c r="B30" s="11" t="s">
        <v>128</v>
      </c>
      <c r="C30" s="11" t="s">
        <v>18</v>
      </c>
      <c r="D30" s="32">
        <v>0.66118784530386732</v>
      </c>
      <c r="E30" s="32">
        <v>2.2472375690607733</v>
      </c>
      <c r="F30" s="32">
        <v>1.6085635359116022</v>
      </c>
    </row>
    <row r="31" spans="2:9" x14ac:dyDescent="0.35">
      <c r="B31" s="11" t="s">
        <v>31</v>
      </c>
      <c r="C31" s="11" t="s">
        <v>18</v>
      </c>
      <c r="D31" s="32">
        <v>0.59</v>
      </c>
      <c r="E31" s="32">
        <v>3.88</v>
      </c>
      <c r="F31" s="32">
        <v>1.79</v>
      </c>
    </row>
    <row r="35" spans="1:5" x14ac:dyDescent="0.35">
      <c r="B35" t="s">
        <v>351</v>
      </c>
      <c r="C35" t="s">
        <v>348</v>
      </c>
    </row>
    <row r="36" spans="1:5" x14ac:dyDescent="0.35">
      <c r="B36" t="s">
        <v>15</v>
      </c>
      <c r="C36">
        <v>0.31</v>
      </c>
    </row>
    <row r="37" spans="1:5" x14ac:dyDescent="0.35">
      <c r="B37" t="s">
        <v>36</v>
      </c>
      <c r="C37">
        <v>0.36</v>
      </c>
    </row>
    <row r="38" spans="1:5" x14ac:dyDescent="0.35">
      <c r="B38" t="s">
        <v>25</v>
      </c>
      <c r="C38">
        <v>0.56000000000000005</v>
      </c>
    </row>
    <row r="39" spans="1:5" x14ac:dyDescent="0.35">
      <c r="B39" t="s">
        <v>31</v>
      </c>
      <c r="C39">
        <v>0.59</v>
      </c>
    </row>
    <row r="40" spans="1:5" x14ac:dyDescent="0.35">
      <c r="B40" t="s">
        <v>128</v>
      </c>
      <c r="C40" s="2">
        <v>0.66118784530386732</v>
      </c>
    </row>
    <row r="41" spans="1:5" x14ac:dyDescent="0.35">
      <c r="B41" t="s">
        <v>44</v>
      </c>
      <c r="C41" s="2">
        <v>0.67487147071217868</v>
      </c>
    </row>
    <row r="43" spans="1:5" x14ac:dyDescent="0.35">
      <c r="A43" s="1" t="s">
        <v>202</v>
      </c>
      <c r="B43" s="1" t="s">
        <v>4</v>
      </c>
      <c r="C43" s="1" t="s">
        <v>158</v>
      </c>
      <c r="D43" s="1" t="s">
        <v>159</v>
      </c>
      <c r="E43" s="1" t="s">
        <v>160</v>
      </c>
    </row>
    <row r="44" spans="1:5" x14ac:dyDescent="0.35">
      <c r="A44" t="s">
        <v>185</v>
      </c>
      <c r="B44" s="2">
        <v>10.01</v>
      </c>
      <c r="C44" s="2">
        <v>0.22</v>
      </c>
      <c r="D44" s="8">
        <v>0.92</v>
      </c>
      <c r="E44" s="8">
        <v>0.66</v>
      </c>
    </row>
    <row r="45" spans="1:5" x14ac:dyDescent="0.35">
      <c r="A45" t="s">
        <v>189</v>
      </c>
      <c r="B45" s="2">
        <v>6.57</v>
      </c>
      <c r="C45" s="8">
        <v>0.28999999999999998</v>
      </c>
      <c r="D45" s="8">
        <v>1.52</v>
      </c>
      <c r="E45" s="8">
        <v>0.88</v>
      </c>
    </row>
    <row r="46" spans="1:5" x14ac:dyDescent="0.35">
      <c r="A46" t="s">
        <v>191</v>
      </c>
      <c r="B46" s="2">
        <v>5.21</v>
      </c>
      <c r="C46" s="8">
        <v>0.5</v>
      </c>
      <c r="D46" s="8">
        <v>5.38</v>
      </c>
      <c r="E46" s="8">
        <v>1.72</v>
      </c>
    </row>
    <row r="47" spans="1:5" x14ac:dyDescent="0.35">
      <c r="A47" t="s">
        <v>196</v>
      </c>
      <c r="B47" s="2">
        <v>0.69599999999999995</v>
      </c>
      <c r="C47" s="8">
        <v>1.06</v>
      </c>
      <c r="D47" s="8">
        <v>6.55</v>
      </c>
      <c r="E47" s="8">
        <v>1.65</v>
      </c>
    </row>
    <row r="48" spans="1:5" x14ac:dyDescent="0.35">
      <c r="A48" t="s">
        <v>226</v>
      </c>
      <c r="B48" s="2">
        <v>0.95499999999999996</v>
      </c>
      <c r="C48" s="2">
        <v>0.33590513460214971</v>
      </c>
      <c r="D48" s="2">
        <v>2.3543476384493478</v>
      </c>
      <c r="E48" s="2">
        <v>1.3007871425232524</v>
      </c>
    </row>
  </sheetData>
  <autoFilter ref="B35:C35" xr:uid="{6A94020D-D9E8-41B0-9C69-4AED85B05C5A}">
    <sortState xmlns:xlrd2="http://schemas.microsoft.com/office/spreadsheetml/2017/richdata2" ref="B36:C41">
      <sortCondition ref="C35"/>
    </sortState>
  </autoFilter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D5C7614E89D54FB82A39B665147AA5" ma:contentTypeVersion="11" ma:contentTypeDescription="Create a new document." ma:contentTypeScope="" ma:versionID="706e999ceef273d6e2906b49d20bea9d">
  <xsd:schema xmlns:xsd="http://www.w3.org/2001/XMLSchema" xmlns:xs="http://www.w3.org/2001/XMLSchema" xmlns:p="http://schemas.microsoft.com/office/2006/metadata/properties" xmlns:ns2="624ae1b8-1757-4eec-a20c-3a746d0f1e2e" xmlns:ns3="6bdab1e0-4ba2-42f9-aa66-b9ffaad8bd68" targetNamespace="http://schemas.microsoft.com/office/2006/metadata/properties" ma:root="true" ma:fieldsID="d5010a9a25c3c40fba1570b9dddcdbd8" ns2:_="" ns3:_="">
    <xsd:import namespace="624ae1b8-1757-4eec-a20c-3a746d0f1e2e"/>
    <xsd:import namespace="6bdab1e0-4ba2-42f9-aa66-b9ffaad8b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ae1b8-1757-4eec-a20c-3a746d0f1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ab1e0-4ba2-42f9-aa66-b9ffaad8bd6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dc6e943-8b15-44ff-8537-89c247d37082}" ma:internalName="TaxCatchAll" ma:showField="CatchAllData" ma:web="6bdab1e0-4ba2-42f9-aa66-b9ffaad8b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24ae1b8-1757-4eec-a20c-3a746d0f1e2e" xsi:nil="true"/>
    <lcf76f155ced4ddcb4097134ff3c332f xmlns="624ae1b8-1757-4eec-a20c-3a746d0f1e2e">
      <Terms xmlns="http://schemas.microsoft.com/office/infopath/2007/PartnerControls"/>
    </lcf76f155ced4ddcb4097134ff3c332f>
    <TaxCatchAll xmlns="6bdab1e0-4ba2-42f9-aa66-b9ffaad8bd68" xsi:nil="true"/>
  </documentManagement>
</p:properties>
</file>

<file path=customXml/itemProps1.xml><?xml version="1.0" encoding="utf-8"?>
<ds:datastoreItem xmlns:ds="http://schemas.openxmlformats.org/officeDocument/2006/customXml" ds:itemID="{625D34F1-2D04-464D-8149-F964EF4DE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ae1b8-1757-4eec-a20c-3a746d0f1e2e"/>
    <ds:schemaRef ds:uri="6bdab1e0-4ba2-42f9-aa66-b9ffaad8b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5F9F34-B365-4B1D-BA3B-2CC3E4B086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E24EA6-36DA-46E2-8CB0-D0BFE3E4D99D}">
  <ds:schemaRefs>
    <ds:schemaRef ds:uri="http://schemas.microsoft.com/office/2006/metadata/properties"/>
    <ds:schemaRef ds:uri="http://schemas.microsoft.com/office/infopath/2007/PartnerControls"/>
    <ds:schemaRef ds:uri="624ae1b8-1757-4eec-a20c-3a746d0f1e2e"/>
    <ds:schemaRef ds:uri="6bdab1e0-4ba2-42f9-aa66-b9ffaad8bd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Global</vt:lpstr>
      <vt:lpstr>GRAPH</vt:lpstr>
      <vt:lpstr>AQI</vt:lpstr>
      <vt:lpstr>Sheet1</vt:lpstr>
      <vt:lpstr>Coke FY26</vt:lpstr>
      <vt:lpstr>Prod_BF BOF</vt:lpstr>
      <vt:lpstr>Prod_BF BOF R0</vt:lpstr>
      <vt:lpstr>TataSteel</vt:lpstr>
      <vt:lpstr>Indian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Navya Sree</dc:creator>
  <cp:keywords/>
  <dc:description/>
  <cp:lastModifiedBy>R Navya Sree</cp:lastModifiedBy>
  <cp:revision/>
  <dcterms:created xsi:type="dcterms:W3CDTF">2026-06-19T04:20:39Z</dcterms:created>
  <dcterms:modified xsi:type="dcterms:W3CDTF">2026-10-08T09:22:49Z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2026-06-19T04:25:22Z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eae746db-d438-4ef6-88aa-57464f9e1246</vt:lpwstr>
  </property>
  <property fmtid="{D5CDD505-2E9C-101B-9397-08002B2CF9AE}" pid="8" name="MSIP_Label_2f50afb6-ab6e-4e8b-96b5-6e00ab52e29e_ContentBits">
    <vt:lpwstr>0</vt:lpwstr>
  </property>
  <property fmtid="{D5CDD505-2E9C-101B-9397-08002B2CF9AE}" pid="9" name="ContentTypeId">
    <vt:lpwstr>0x0101001FD5C7614E89D54FB82A39B665147AA5</vt:lpwstr>
  </property>
  <property fmtid="{D5CDD505-2E9C-101B-9397-08002B2CF9AE}" pid="10" name="MediaServiceImageTags">
    <vt:lpwstr/>
  </property>
</Properties>
</file>